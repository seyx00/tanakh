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<sst xmlns="http://schemas.openxmlformats.org/spreadsheetml/2006/main" count="1879" uniqueCount="461">
  <si>
    <t>book</t>
  </si>
  <si>
    <t>class</t>
  </si>
  <si>
    <t>num</t>
  </si>
  <si>
    <t>no</t>
  </si>
  <si>
    <t>hebrew</t>
  </si>
  <si>
    <t>transcription</t>
  </si>
  <si>
    <t>strong</t>
  </si>
  <si>
    <t>az</t>
  </si>
  <si>
    <t>gramer</t>
  </si>
  <si>
    <t>Yaradılış</t>
  </si>
  <si>
    <t>זֶ֣ה</t>
  </si>
  <si>
    <t>zeh</t>
  </si>
  <si>
    <t>This [is]</t>
  </si>
  <si>
    <t>Pronoun - masculine singular</t>
  </si>
  <si>
    <t>סֵ֔פֶר</t>
  </si>
  <si>
    <t>sê·p̄er,</t>
  </si>
  <si>
    <t>the book</t>
  </si>
  <si>
    <t>Noun - masculine singular construct</t>
  </si>
  <si>
    <t>תּוֹלְדֹ֖ת</t>
  </si>
  <si>
    <t>tō·wl·ḏōṯ</t>
  </si>
  <si>
    <t>of the genealogy</t>
  </si>
  <si>
    <t>Noun - feminine plural construct</t>
  </si>
  <si>
    <t>אָדָ֑ם</t>
  </si>
  <si>
    <t>’ā·ḏām;</t>
  </si>
  <si>
    <t>of Adam</t>
  </si>
  <si>
    <t>Noun - proper - masculine singular</t>
  </si>
  <si>
    <t>בְּי֗וֹם</t>
  </si>
  <si>
    <t>bə·yō·wm,</t>
  </si>
  <si>
    <t>In the day</t>
  </si>
  <si>
    <t>Preposition-b :: Noun - masculine singular construct</t>
  </si>
  <si>
    <t>בְּרֹ֤א</t>
  </si>
  <si>
    <t>bə·rō</t>
  </si>
  <si>
    <t>that created</t>
  </si>
  <si>
    <t>Verb - Qal - Infinitive construct</t>
  </si>
  <si>
    <t>אֱלֹהִים֙</t>
  </si>
  <si>
    <t>’ĕ·lō·hîm</t>
  </si>
  <si>
    <t>God</t>
  </si>
  <si>
    <t>Noun - masculine plural</t>
  </si>
  <si>
    <t>אָדָ֔ם</t>
  </si>
  <si>
    <t>’ā·ḏām,</t>
  </si>
  <si>
    <t>man</t>
  </si>
  <si>
    <t>Noun - masculine singular</t>
  </si>
  <si>
    <t>בִּדְמ֥וּת</t>
  </si>
  <si>
    <t>biḏ·mūṯ</t>
  </si>
  <si>
    <t>in the likeness</t>
  </si>
  <si>
    <t>Preposition-b :: Noun - feminine singular construct</t>
  </si>
  <si>
    <t>אֱלֹהִ֖ים</t>
  </si>
  <si>
    <t>of God</t>
  </si>
  <si>
    <t>עָשָׂ֥ה</t>
  </si>
  <si>
    <t>‘ā·śāh</t>
  </si>
  <si>
    <t>He made</t>
  </si>
  <si>
    <t>Verb - Qal - Perfect - third person masculine singular</t>
  </si>
  <si>
    <t>אֹתֽוֹ׃</t>
  </si>
  <si>
    <t>’ō·ṯōw.</t>
  </si>
  <si>
    <t>him</t>
  </si>
  <si>
    <t>Direct object marker :: third person masculine singular</t>
  </si>
  <si>
    <t>זָכָ֥ר</t>
  </si>
  <si>
    <t>zā·ḵār</t>
  </si>
  <si>
    <t>male</t>
  </si>
  <si>
    <t>וּנְקֵבָ֖ה</t>
  </si>
  <si>
    <t>ū·nə·qê·ḇāh</t>
  </si>
  <si>
    <t>and female</t>
  </si>
  <si>
    <t>Conjunctive waw :: Noun - feminine singular</t>
  </si>
  <si>
    <t>בְּרָאָ֑ם</t>
  </si>
  <si>
    <t>bə·rā·’ām;</t>
  </si>
  <si>
    <t>He created them</t>
  </si>
  <si>
    <t>Verb - Qal - Perfect - third person masculine singular :: third person masculine plural</t>
  </si>
  <si>
    <t>וַיְבָ֣רֶךְ</t>
  </si>
  <si>
    <t>way·ḇā·reḵ</t>
  </si>
  <si>
    <t>and He blessed</t>
  </si>
  <si>
    <t>Conjunctive waw :: Verb - Piel - Consecutive imperfect - third person masculine singular</t>
  </si>
  <si>
    <t>אֹתָ֗ם</t>
  </si>
  <si>
    <t>’ō·ṯām,</t>
  </si>
  <si>
    <t>them</t>
  </si>
  <si>
    <t>Direct object marker :: third person masculine plural</t>
  </si>
  <si>
    <t>וַיִּקְרָ֤א</t>
  </si>
  <si>
    <t>way·yiq·rā</t>
  </si>
  <si>
    <t>and called</t>
  </si>
  <si>
    <t>Conjunctive waw :: Verb - Qal - Consecutive imperfect - third person masculine singular</t>
  </si>
  <si>
    <t>אֶת־</t>
  </si>
  <si>
    <t>’eṯ-</t>
  </si>
  <si>
    <t>-</t>
  </si>
  <si>
    <t>Direct object marker</t>
  </si>
  <si>
    <t>שְׁמָם֙</t>
  </si>
  <si>
    <t>šə·mām</t>
  </si>
  <si>
    <t>Noun - masculine singular construct :: third person masculine plural</t>
  </si>
  <si>
    <t>בְּי֖וֹם</t>
  </si>
  <si>
    <t>bə·yō·wm</t>
  </si>
  <si>
    <t>in the day</t>
  </si>
  <si>
    <t>הִבָּֽרְאָֽם׃</t>
  </si>
  <si>
    <t>hib·bā·rə·’ām.</t>
  </si>
  <si>
    <t>they were created</t>
  </si>
  <si>
    <t>Verb - Nifal - Infinitive construct :: third person masculine plural</t>
  </si>
  <si>
    <t>ס</t>
  </si>
  <si>
    <t>s</t>
  </si>
  <si>
    <t>Punctuation</t>
  </si>
  <si>
    <t>וַֽיְחִ֣י</t>
  </si>
  <si>
    <t>way·ḥî</t>
  </si>
  <si>
    <t>And lived</t>
  </si>
  <si>
    <t>אָדָ֗ם</t>
  </si>
  <si>
    <t>Adam</t>
  </si>
  <si>
    <t>שְׁלֹשִׁ֤ים</t>
  </si>
  <si>
    <t>šə·lō·šîm</t>
  </si>
  <si>
    <t>thirty</t>
  </si>
  <si>
    <t>Number - common plural</t>
  </si>
  <si>
    <t>וּמְאַת֙</t>
  </si>
  <si>
    <t>ū·mə·’aṯ</t>
  </si>
  <si>
    <t>and a hundred</t>
  </si>
  <si>
    <t>Conjunctive waw :: Number - feminine singular construct</t>
  </si>
  <si>
    <t>שָׁנָ֔ה</t>
  </si>
  <si>
    <t>šā·nāh,</t>
  </si>
  <si>
    <t>years</t>
  </si>
  <si>
    <t>Noun - feminine singular</t>
  </si>
  <si>
    <t>וַיּ֥וֹלֶד</t>
  </si>
  <si>
    <t>way·yō·w·leḏ</t>
  </si>
  <si>
    <t>and begat [a son]</t>
  </si>
  <si>
    <t>Conjunctive waw :: Verb - Hifil - Consecutive imperfect - third person masculine singular</t>
  </si>
  <si>
    <t>בִּדְמוּת֖וֹ</t>
  </si>
  <si>
    <t>biḏ·mū·ṯōw</t>
  </si>
  <si>
    <t>in his own likeness</t>
  </si>
  <si>
    <t>Preposition-b :: Noun - feminine singular construct :: third person masculine singular</t>
  </si>
  <si>
    <t>כְּצַלְמ֑וֹ</t>
  </si>
  <si>
    <t>kə·ṣal·mōw;</t>
  </si>
  <si>
    <t>after his image</t>
  </si>
  <si>
    <t>Preposition-k :: Noun - masculine singular construct :: third person masculine singular</t>
  </si>
  <si>
    <t>וַיִּקְרָ֥א</t>
  </si>
  <si>
    <t>and he called</t>
  </si>
  <si>
    <t>שְׁמ֖וֹ</t>
  </si>
  <si>
    <t>šə·mōw</t>
  </si>
  <si>
    <t>his name</t>
  </si>
  <si>
    <t>Noun - masculine singular construct :: third person masculine singular</t>
  </si>
  <si>
    <t>שֵֽׁת׃</t>
  </si>
  <si>
    <t>šêṯ.</t>
  </si>
  <si>
    <t>Seth</t>
  </si>
  <si>
    <t>וַיִּֽהְי֞וּ</t>
  </si>
  <si>
    <t>way·yih·yū</t>
  </si>
  <si>
    <t>So were</t>
  </si>
  <si>
    <t>Conjunctive waw :: Verb - Qal - Consecutive imperfect - third person masculine plural</t>
  </si>
  <si>
    <t>כָּל־</t>
  </si>
  <si>
    <t>kāl-</t>
  </si>
  <si>
    <t>all</t>
  </si>
  <si>
    <t>יְמֵ֤י</t>
  </si>
  <si>
    <t>yə·mê</t>
  </si>
  <si>
    <t>the days</t>
  </si>
  <si>
    <t>Noun - masculine plural construct</t>
  </si>
  <si>
    <t>אָדָם֙</t>
  </si>
  <si>
    <t>’ā·ḏām</t>
  </si>
  <si>
    <t>אֲשֶׁר־</t>
  </si>
  <si>
    <t>’ă·šer-</t>
  </si>
  <si>
    <t>that</t>
  </si>
  <si>
    <t>Pronoun - relative</t>
  </si>
  <si>
    <t>חַ֔י</t>
  </si>
  <si>
    <t>ḥay,</t>
  </si>
  <si>
    <t>lived</t>
  </si>
  <si>
    <t>תְּשַׁ֤ע</t>
  </si>
  <si>
    <t>tə·ša‘</t>
  </si>
  <si>
    <t>nine</t>
  </si>
  <si>
    <t>Number - feminine singular construct</t>
  </si>
  <si>
    <t>מֵאוֹת֙</t>
  </si>
  <si>
    <t>mê·’ō·wṯ</t>
  </si>
  <si>
    <t>hundred</t>
  </si>
  <si>
    <t>Number - feminine plural</t>
  </si>
  <si>
    <t>וּשְׁלֹשִׁ֖ים</t>
  </si>
  <si>
    <t>ū·šə·lō·šîm</t>
  </si>
  <si>
    <t>and thirty</t>
  </si>
  <si>
    <t>Conjunctive waw :: Number - common plural</t>
  </si>
  <si>
    <t>שָׁנָ֑ה</t>
  </si>
  <si>
    <t>šā·nāh;</t>
  </si>
  <si>
    <t>וַיָּמֹֽת׃</t>
  </si>
  <si>
    <t>way·yā·mōṯ.</t>
  </si>
  <si>
    <t>and he died</t>
  </si>
  <si>
    <t>וַֽיְחִי־</t>
  </si>
  <si>
    <t>way·ḥî-</t>
  </si>
  <si>
    <t>שֵׁ֕ת</t>
  </si>
  <si>
    <t>šêṯ</t>
  </si>
  <si>
    <t>חָמֵ֥שׁ</t>
  </si>
  <si>
    <t>ḥā·mêš</t>
  </si>
  <si>
    <t>five</t>
  </si>
  <si>
    <t>Number - feminine singular</t>
  </si>
  <si>
    <t>שָׁנִ֖ים</t>
  </si>
  <si>
    <t>šā·nîm</t>
  </si>
  <si>
    <t>Noun - feminine plural</t>
  </si>
  <si>
    <t>וּמְאַ֣ת</t>
  </si>
  <si>
    <t>וַיּ֖וֹלֶד</t>
  </si>
  <si>
    <t>and he begat</t>
  </si>
  <si>
    <t>אֱנֽוֹשׁ׃</t>
  </si>
  <si>
    <t>’ĕ·nō·wōš.</t>
  </si>
  <si>
    <t>Enosh</t>
  </si>
  <si>
    <t>שֵׁ֗ת</t>
  </si>
  <si>
    <t>šêṯ,</t>
  </si>
  <si>
    <t>אַֽחֲרֵי֙</t>
  </si>
  <si>
    <t>’a·ḥă·rê</t>
  </si>
  <si>
    <t>after</t>
  </si>
  <si>
    <t>Preposition</t>
  </si>
  <si>
    <t>הוֹלִיד֣וֹ</t>
  </si>
  <si>
    <t>hō·w·lî·ḏōw</t>
  </si>
  <si>
    <t>he begat</t>
  </si>
  <si>
    <t>Verb - Hifil - Infinitive construct :: third person masculine singular</t>
  </si>
  <si>
    <t>אֱנ֔וֹשׁ</t>
  </si>
  <si>
    <t>’ĕ·nō·wōš,</t>
  </si>
  <si>
    <t>שֶׁ֣בַע</t>
  </si>
  <si>
    <t>še·ḇa‘</t>
  </si>
  <si>
    <t>seven</t>
  </si>
  <si>
    <t>שָׁנִ֔ים</t>
  </si>
  <si>
    <t>šā·nîm,</t>
  </si>
  <si>
    <t>וּשְׁמֹנֶ֥ה</t>
  </si>
  <si>
    <t>ū·šə·mō·neh</t>
  </si>
  <si>
    <t>and eight</t>
  </si>
  <si>
    <t>Conjunctive waw :: Number - feminine singular</t>
  </si>
  <si>
    <t>מֵא֖וֹת</t>
  </si>
  <si>
    <t>בָּנִ֖ים</t>
  </si>
  <si>
    <t>bā·nîm</t>
  </si>
  <si>
    <t>sons</t>
  </si>
  <si>
    <t>וּבָנֽוֹת׃</t>
  </si>
  <si>
    <t>ū·ḇā·nō·wṯ.</t>
  </si>
  <si>
    <t>and daughters</t>
  </si>
  <si>
    <t>Conjunctive waw :: Noun - feminine plural</t>
  </si>
  <si>
    <t>וַיִּֽהְיוּ֙</t>
  </si>
  <si>
    <t>יְמֵי־</t>
  </si>
  <si>
    <t>yə·mê-</t>
  </si>
  <si>
    <t>שֵׁ֔ת</t>
  </si>
  <si>
    <t>of Seth</t>
  </si>
  <si>
    <t>שְׁתֵּ֤ים</t>
  </si>
  <si>
    <t>šə·têm</t>
  </si>
  <si>
    <t>two</t>
  </si>
  <si>
    <t>Number - fd</t>
  </si>
  <si>
    <t>עֶשְׂרֵה֙</t>
  </si>
  <si>
    <t>‘eś·rêh</t>
  </si>
  <si>
    <t>[and] ten</t>
  </si>
  <si>
    <t>וּתְשַׁ֥ע</t>
  </si>
  <si>
    <t>ū·ṯə·ša‘</t>
  </si>
  <si>
    <t>and nine</t>
  </si>
  <si>
    <t>וַֽיְחִ֥י</t>
  </si>
  <si>
    <t>אֱנ֖וֹשׁ</t>
  </si>
  <si>
    <t>’ĕ·nō·wōš</t>
  </si>
  <si>
    <t>תִּשְׁעִ֣ים</t>
  </si>
  <si>
    <t>tiš·‘îm</t>
  </si>
  <si>
    <t>ninety</t>
  </si>
  <si>
    <t>קֵינָֽן׃</t>
  </si>
  <si>
    <t>qê·nān.</t>
  </si>
  <si>
    <t>Cainan</t>
  </si>
  <si>
    <t>אֱנ֗וֹשׁ</t>
  </si>
  <si>
    <t>קֵינָ֔ן</t>
  </si>
  <si>
    <t>qê·nān,</t>
  </si>
  <si>
    <t>חֲמֵ֤שׁ</t>
  </si>
  <si>
    <t>ḥă·mêš</t>
  </si>
  <si>
    <t>Five</t>
  </si>
  <si>
    <t>יְמֵ֣י</t>
  </si>
  <si>
    <t>of Enosh</t>
  </si>
  <si>
    <t>חָמֵ֣שׁ</t>
  </si>
  <si>
    <t>קֵינָ֖ן</t>
  </si>
  <si>
    <t>qê·nān</t>
  </si>
  <si>
    <t>שִׁבְעִ֣ים</t>
  </si>
  <si>
    <t>šiḇ·‘îm</t>
  </si>
  <si>
    <t>seventy</t>
  </si>
  <si>
    <t>מַֽהֲלַלְאֵֽל׃</t>
  </si>
  <si>
    <t>ma·hă·lal·’êl.</t>
  </si>
  <si>
    <t>Mahalalel</t>
  </si>
  <si>
    <t>וַיְחִ֣י</t>
  </si>
  <si>
    <t>קֵינָ֗ן</t>
  </si>
  <si>
    <t>אַחֲרֵי֙</t>
  </si>
  <si>
    <t>מַֽהֲלַלְאֵ֔ל</t>
  </si>
  <si>
    <t>ma·hă·lal·’êl,</t>
  </si>
  <si>
    <t>אַרְבָּעִ֣ים</t>
  </si>
  <si>
    <t>’ar·bā·‘îm</t>
  </si>
  <si>
    <t>forty</t>
  </si>
  <si>
    <t>of Cainan</t>
  </si>
  <si>
    <t>עֶ֣שֶׂר</t>
  </si>
  <si>
    <t>‘e·śer</t>
  </si>
  <si>
    <t>ten</t>
  </si>
  <si>
    <t>וְשִׁשִּׁ֣ים</t>
  </si>
  <si>
    <t>wə·šiš·šîm</t>
  </si>
  <si>
    <t>and sixty</t>
  </si>
  <si>
    <t>יָֽרֶד׃</t>
  </si>
  <si>
    <t>yā·reḏ.</t>
  </si>
  <si>
    <t>Jared</t>
  </si>
  <si>
    <t>מַֽהֲלַלְאֵ֗ל</t>
  </si>
  <si>
    <t>יֶ֔רֶד</t>
  </si>
  <si>
    <t>ye·reḏ,</t>
  </si>
  <si>
    <t>שְׁלֹשִׁ֣ים</t>
  </si>
  <si>
    <t>וַיִּהְיוּ֙</t>
  </si>
  <si>
    <t>מַהֲלַלְאֵ֔ל</t>
  </si>
  <si>
    <t>of Mahalalel</t>
  </si>
  <si>
    <t>חָמֵ֤שׁ</t>
  </si>
  <si>
    <t>וְתִשְׁעִים֙</t>
  </si>
  <si>
    <t>wə·ṯiš·‘îm</t>
  </si>
  <si>
    <t>and ninety</t>
  </si>
  <si>
    <t>יֶ֕רֶד</t>
  </si>
  <si>
    <t>ye·reḏ</t>
  </si>
  <si>
    <t>שְׁתַּ֧יִם</t>
  </si>
  <si>
    <t>šə·ta·yim</t>
  </si>
  <si>
    <t>וְשִׁשִּׁ֛ים</t>
  </si>
  <si>
    <t>שָׁנָ֖ה</t>
  </si>
  <si>
    <t>šā·nāh</t>
  </si>
  <si>
    <t>חֲנֽוֹךְ׃</t>
  </si>
  <si>
    <t>ḥă·nō·wḵ.</t>
  </si>
  <si>
    <t>Enoch</t>
  </si>
  <si>
    <t>יֶ֗רֶד</t>
  </si>
  <si>
    <t>חֲנ֔וֹךְ</t>
  </si>
  <si>
    <t>ḥă·nō·wḵ,</t>
  </si>
  <si>
    <t>שְׁמֹנֶ֥ה</t>
  </si>
  <si>
    <t>šə·mō·neh</t>
  </si>
  <si>
    <t>eight</t>
  </si>
  <si>
    <t>of Jared</t>
  </si>
  <si>
    <t>שְׁתַּ֤יִם</t>
  </si>
  <si>
    <t>וְשִׁשִּׁים֙</t>
  </si>
  <si>
    <t>פ</t>
  </si>
  <si>
    <t>p̄</t>
  </si>
  <si>
    <t>וְשִׁשִּׁ֖ים</t>
  </si>
  <si>
    <t>מְתוּשָֽׁלַח׃</t>
  </si>
  <si>
    <t>mə·ṯū·šā·laḥ.</t>
  </si>
  <si>
    <t>Methuselah</t>
  </si>
  <si>
    <t>וַיִּתְהַלֵּ֨ךְ</t>
  </si>
  <si>
    <t>way·yiṯ·hal·lêḵ</t>
  </si>
  <si>
    <t>And walked</t>
  </si>
  <si>
    <t>Conjunctive waw :: Verb - Hitpael - Consecutive imperfect - third person masculine singular</t>
  </si>
  <si>
    <t>חֲנ֜וֹךְ</t>
  </si>
  <si>
    <t>ḥă·nō·wḵ</t>
  </si>
  <si>
    <t>with</t>
  </si>
  <si>
    <t>הָֽאֱלֹהִ֗ים</t>
  </si>
  <si>
    <t>hā·’ĕ·lō·hîm,</t>
  </si>
  <si>
    <t>Article :: Noun - masculine plural</t>
  </si>
  <si>
    <t>מְתוּשֶׁ֔לַח</t>
  </si>
  <si>
    <t>mə·ṯū·še·laḥ,</t>
  </si>
  <si>
    <t>שְׁלֹ֥שׁ</t>
  </si>
  <si>
    <t>šə·lōš</t>
  </si>
  <si>
    <t>three</t>
  </si>
  <si>
    <t>וַיְהִ֖י</t>
  </si>
  <si>
    <t>way·hî</t>
  </si>
  <si>
    <t>חֲנ֑וֹךְ</t>
  </si>
  <si>
    <t>ḥă·nō·wḵ;</t>
  </si>
  <si>
    <t>of Enoch</t>
  </si>
  <si>
    <t>וּשְׁלֹ֥שׁ</t>
  </si>
  <si>
    <t>ū·šə·lōš</t>
  </si>
  <si>
    <t>and three</t>
  </si>
  <si>
    <t>שָׁנָֽה׃</t>
  </si>
  <si>
    <t>šā·nāh.</t>
  </si>
  <si>
    <t>וַיִּתְהַלֵּ֥ךְ</t>
  </si>
  <si>
    <t>חֲנ֖וֹךְ</t>
  </si>
  <si>
    <t>הָֽאֱלֹהִ֑ים</t>
  </si>
  <si>
    <t>hā·’ĕ·lō·hîm;</t>
  </si>
  <si>
    <t>וְאֵינֶ֕נּוּ</t>
  </si>
  <si>
    <t>wə·’ê·nen·nū</t>
  </si>
  <si>
    <t>and he [was] not</t>
  </si>
  <si>
    <t>Conjunctive waw :: Adverb :: third person masculine singular</t>
  </si>
  <si>
    <t>כִּֽי־</t>
  </si>
  <si>
    <t>kî-</t>
  </si>
  <si>
    <t>for</t>
  </si>
  <si>
    <t>Conjunction</t>
  </si>
  <si>
    <t>לָקַ֥ח</t>
  </si>
  <si>
    <t>lā·qaḥ</t>
  </si>
  <si>
    <t>took</t>
  </si>
  <si>
    <t>אֹת֖וֹ</t>
  </si>
  <si>
    <t>’ō·ṯōw</t>
  </si>
  <si>
    <t>אֱלֹהִֽים׃</t>
  </si>
  <si>
    <t>’ĕ·lō·hîm.</t>
  </si>
  <si>
    <t>שֶׁ֧בַע</t>
  </si>
  <si>
    <t>וּשְׁמֹנִ֛ים</t>
  </si>
  <si>
    <t>ū·šə·mō·nîm</t>
  </si>
  <si>
    <t>and eighty</t>
  </si>
  <si>
    <t>לָֽמֶךְ׃</t>
  </si>
  <si>
    <t>lā·meḵ.</t>
  </si>
  <si>
    <t>Lamech</t>
  </si>
  <si>
    <t>מְתוּשֶׁ֗לַח</t>
  </si>
  <si>
    <t>לֶ֔מֶךְ</t>
  </si>
  <si>
    <t>le·meḵ,</t>
  </si>
  <si>
    <t>וּשְׁמוֹנִים֙</t>
  </si>
  <si>
    <t>ū·šə·mō·w·nîm</t>
  </si>
  <si>
    <t>וּשְׁבַ֥ע</t>
  </si>
  <si>
    <t>ū·šə·ḇa‘</t>
  </si>
  <si>
    <t>and seven</t>
  </si>
  <si>
    <t>of Methuselah</t>
  </si>
  <si>
    <t>תֵּ֤שַׁע</t>
  </si>
  <si>
    <t>tê·ša‘</t>
  </si>
  <si>
    <t>לֶ֕מֶךְ</t>
  </si>
  <si>
    <t>le·meḵ</t>
  </si>
  <si>
    <t>בֵּֽן׃</t>
  </si>
  <si>
    <t>bên.</t>
  </si>
  <si>
    <t>a son</t>
  </si>
  <si>
    <t>וַיִּקְרָ֧א</t>
  </si>
  <si>
    <t>And he called</t>
  </si>
  <si>
    <t>שְׁמ֛וֹ</t>
  </si>
  <si>
    <t>נֹ֖חַ</t>
  </si>
  <si>
    <t>nō·aḥ</t>
  </si>
  <si>
    <t>Noah</t>
  </si>
  <si>
    <t>לֵאמֹ֑ר</t>
  </si>
  <si>
    <t>lê·mōr;</t>
  </si>
  <si>
    <t>saying</t>
  </si>
  <si>
    <t>Preposition-l :: Verb - Qal - Infinitive construct</t>
  </si>
  <si>
    <t>זֶ֞֠ה</t>
  </si>
  <si>
    <t>this [one]</t>
  </si>
  <si>
    <t>יְנַחֲמֵ֤נוּ</t>
  </si>
  <si>
    <t>yə·na·ḥă·mê·nū</t>
  </si>
  <si>
    <t>shall comfort us</t>
  </si>
  <si>
    <t>Verb - Piel - Imperfect - third person masculine singular :: first person common plural</t>
  </si>
  <si>
    <t>מִֽמַּעֲשֵׂ֙נוּ֙</t>
  </si>
  <si>
    <t>mim·ma·‘ă·śê·nū</t>
  </si>
  <si>
    <t>concerning our work</t>
  </si>
  <si>
    <t>Preposition-m :: Noun - masculine singular construct :: first person common plural</t>
  </si>
  <si>
    <t>וּמֵעִצְּב֣וֹן</t>
  </si>
  <si>
    <t>ū·mê·‘iṣ·ṣə·ḇō·wn</t>
  </si>
  <si>
    <t>and the toil</t>
  </si>
  <si>
    <t>Conjunctive waw, Preposition-m :: Noun - masculine singular construct</t>
  </si>
  <si>
    <t>יָדֵ֔ינוּ</t>
  </si>
  <si>
    <t>yā·ḏê·nū,</t>
  </si>
  <si>
    <t>of our hands</t>
  </si>
  <si>
    <t>Noun - fdc :: first person common plural</t>
  </si>
  <si>
    <t>מִן־</t>
  </si>
  <si>
    <t>min-</t>
  </si>
  <si>
    <t>because</t>
  </si>
  <si>
    <t>הָ֣אֲדָמָ֔ה</t>
  </si>
  <si>
    <t>hā·’ă·ḏā·māh,</t>
  </si>
  <si>
    <t>of the ground</t>
  </si>
  <si>
    <t>Article :: Noun - feminine singular</t>
  </si>
  <si>
    <t>אֲשֶׁ֥ר</t>
  </si>
  <si>
    <t>’ă·šer</t>
  </si>
  <si>
    <t>which</t>
  </si>
  <si>
    <t>אֵֽרְרָ֖הּ</t>
  </si>
  <si>
    <t>’ê·rə·rāh</t>
  </si>
  <si>
    <t>has cursed</t>
  </si>
  <si>
    <t>Verb - Piel - Perfect - third person masculine singular :: third person feminine singular</t>
  </si>
  <si>
    <t>יְהוָֽה׃</t>
  </si>
  <si>
    <t>Yah·weh.</t>
  </si>
  <si>
    <t>Yahweh</t>
  </si>
  <si>
    <t>לֶ֗מֶךְ</t>
  </si>
  <si>
    <t>נֹ֔חַ</t>
  </si>
  <si>
    <t>nō·aḥ,</t>
  </si>
  <si>
    <t>וַחֲמֵ֥שׁ</t>
  </si>
  <si>
    <t>wa·ḥă·mêš</t>
  </si>
  <si>
    <t>and five</t>
  </si>
  <si>
    <t>מֵאֹ֖ת</t>
  </si>
  <si>
    <t>mê·’ōṯ</t>
  </si>
  <si>
    <t>וַֽיְהִי֙</t>
  </si>
  <si>
    <t>of Lamech</t>
  </si>
  <si>
    <t>שֶׁ֤בַע</t>
  </si>
  <si>
    <t>וְשִׁבְעִים֙</t>
  </si>
  <si>
    <t>wə·šiḇ·‘îm</t>
  </si>
  <si>
    <t>and seventy</t>
  </si>
  <si>
    <t>וַֽיְהִי־</t>
  </si>
  <si>
    <t>way·hî-</t>
  </si>
  <si>
    <t>And was</t>
  </si>
  <si>
    <t>נֹ֕חַ</t>
  </si>
  <si>
    <t>בֶּן־</t>
  </si>
  <si>
    <t>ben-</t>
  </si>
  <si>
    <t>old</t>
  </si>
  <si>
    <t>חֲמֵ֥שׁ</t>
  </si>
  <si>
    <t>וַיּ֣וֹלֶד</t>
  </si>
  <si>
    <t>and begat</t>
  </si>
  <si>
    <t>שֵׁ֖ם</t>
  </si>
  <si>
    <t>šêm</t>
  </si>
  <si>
    <t>Shem</t>
  </si>
  <si>
    <t>חָ֥ם</t>
  </si>
  <si>
    <t>ḥām</t>
  </si>
  <si>
    <t>Ham</t>
  </si>
  <si>
    <t>וְאֶת־</t>
  </si>
  <si>
    <t>wə·’eṯ-</t>
  </si>
  <si>
    <t>and</t>
  </si>
  <si>
    <t>Conjunctive waw :: Direct object marker</t>
  </si>
  <si>
    <t>יָֽפֶת׃</t>
  </si>
  <si>
    <t>yā·p̄eṯ.</t>
  </si>
  <si>
    <t>Japheth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</si>
</sst>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">
    <border/>
    <border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bottom" wrapText="0"/>
    </xf>
    <xf borderId="1" fillId="2" fontId="2" numFmtId="0" xfId="0" applyAlignment="1" applyBorder="1" applyFill="1" applyFont="1">
      <alignment horizontal="left" readingOrder="0" shrinkToFit="0" vertical="bottom" wrapText="0"/>
    </xf>
    <xf borderId="2" fillId="2" fontId="2" numFmtId="0" xfId="0" applyAlignment="1" applyBorder="1" applyFill="1" applyFont="1">
      <alignment horizontal="left" readingOrder="0" shrinkToFit="0" vertical="bottom" wrapText="0"/>
    </xf>
    <xf borderId="0" fillId="0" fontId="1" numFmtId="0" xfId="0" applyFont="1"/>
    <xf borderId="2" fillId="2" fontId="2" numFmtId="0" xfId="0" applyAlignment="1" applyBorder="1" applyFill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5.0</v>
      </c>
      <c r="C2" s="1">
        <v>1.0</v>
      </c>
      <c r="D2" s="1">
        <v>1.0</v>
      </c>
      <c r="E2" s="2" t="s">
        <v>10</v>
      </c>
      <c r="F2" s="3" t="s">
        <v>11</v>
      </c>
      <c r="G2" s="4">
        <v>2088.0</v>
      </c>
      <c r="H2" s="3" t="s">
        <v>12</v>
      </c>
      <c r="I2" s="3" t="s">
        <v>13</v>
      </c>
      <c r="J2" s="5" t="str">
        <f>IFERROR(__xludf.DUMMYFUNCTION("GOOGLETRANSLATE(I2,""en"",""az"")"),"Əvəzlik - kişi cinsində tək")</f>
        <v>Əvəzlik - kişi cinsində tək</v>
      </c>
      <c r="K2" s="5" t="str">
        <f>IFERROR(__xludf.DUMMYFUNCTION("GOOGLETRANSLATE(H2,""en"",""az"")"),"Bu [bu]")</f>
        <v>Bu [bu]</v>
      </c>
    </row>
    <row r="3">
      <c r="A3" s="1" t="s">
        <v>9</v>
      </c>
      <c r="B3" s="1">
        <v>5.0</v>
      </c>
      <c r="C3" s="1">
        <v>1.0</v>
      </c>
      <c r="D3" s="1">
        <v>2.0</v>
      </c>
      <c r="E3" s="2" t="s">
        <v>14</v>
      </c>
      <c r="F3" s="3" t="s">
        <v>15</v>
      </c>
      <c r="G3" s="4">
        <v>5612.0</v>
      </c>
      <c r="H3" s="3" t="s">
        <v>16</v>
      </c>
      <c r="I3" s="3" t="s">
        <v>17</v>
      </c>
      <c r="J3" s="5" t="str">
        <f>IFERROR(__xludf.DUMMYFUNCTION("GOOGLETRANSLATE(I3,""en"",""az"")"),"İsim - kişi cinsində tək konstruksiya")</f>
        <v>İsim - kişi cinsində tək konstruksiya</v>
      </c>
      <c r="K3" s="5" t="str">
        <f>IFERROR(__xludf.DUMMYFUNCTION("GOOGLETRANSLATE(H3,""en"",""az"")"),"kitab")</f>
        <v>kitab</v>
      </c>
    </row>
    <row r="4">
      <c r="A4" s="1" t="s">
        <v>9</v>
      </c>
      <c r="B4" s="1">
        <v>5.0</v>
      </c>
      <c r="C4" s="1">
        <v>1.0</v>
      </c>
      <c r="D4" s="1">
        <v>3.0</v>
      </c>
      <c r="E4" s="2" t="s">
        <v>18</v>
      </c>
      <c r="F4" s="3" t="s">
        <v>19</v>
      </c>
      <c r="G4" s="4">
        <v>8435.0</v>
      </c>
      <c r="H4" s="3" t="s">
        <v>20</v>
      </c>
      <c r="I4" s="3" t="s">
        <v>21</v>
      </c>
      <c r="J4" s="5" t="str">
        <f>IFERROR(__xludf.DUMMYFUNCTION("GOOGLETRANSLATE(I4,""en"",""az"")"),"İsim - qadın cəm quruluşu")</f>
        <v>İsim - qadın cəm quruluşu</v>
      </c>
      <c r="K4" s="5" t="str">
        <f>IFERROR(__xludf.DUMMYFUNCTION("GOOGLETRANSLATE(H4,""en"",""az"")"),"şəcərənin")</f>
        <v>şəcərənin</v>
      </c>
    </row>
    <row r="5">
      <c r="A5" s="1" t="s">
        <v>9</v>
      </c>
      <c r="B5" s="1">
        <v>5.0</v>
      </c>
      <c r="C5" s="1">
        <v>1.0</v>
      </c>
      <c r="D5" s="1">
        <v>4.0</v>
      </c>
      <c r="E5" s="2" t="s">
        <v>22</v>
      </c>
      <c r="F5" s="3" t="s">
        <v>23</v>
      </c>
      <c r="G5" s="4">
        <v>121.0</v>
      </c>
      <c r="H5" s="3" t="s">
        <v>24</v>
      </c>
      <c r="I5" s="3" t="s">
        <v>25</v>
      </c>
      <c r="J5" s="5" t="str">
        <f>IFERROR(__xludf.DUMMYFUNCTION("GOOGLETRANSLATE(I5,""en"",""az"")"),"İsim - xüsusi - kişi cinsində tək")</f>
        <v>İsim - xüsusi - kişi cinsində tək</v>
      </c>
      <c r="K5" s="5" t="str">
        <f>IFERROR(__xludf.DUMMYFUNCTION("GOOGLETRANSLATE(H5,""en"",""az"")"),"Adəmin")</f>
        <v>Adəmin</v>
      </c>
    </row>
    <row r="6">
      <c r="A6" s="1" t="s">
        <v>9</v>
      </c>
      <c r="B6" s="1">
        <v>5.0</v>
      </c>
      <c r="C6" s="1">
        <v>1.0</v>
      </c>
      <c r="D6" s="1">
        <v>5.0</v>
      </c>
      <c r="E6" s="2" t="s">
        <v>26</v>
      </c>
      <c r="F6" s="3" t="s">
        <v>27</v>
      </c>
      <c r="G6" s="4">
        <v>3117.0</v>
      </c>
      <c r="H6" s="3" t="s">
        <v>28</v>
      </c>
      <c r="I6" s="3" t="s">
        <v>29</v>
      </c>
      <c r="J6" s="5" t="str">
        <f>IFERROR(__xludf.DUMMYFUNCTION("GOOGLETRANSLATE(I6,""en"",""az"")"),"B sözönü :: İsim - kişi cinsində tək konstruksiya")</f>
        <v>B sözönü :: İsim - kişi cinsində tək konstruksiya</v>
      </c>
      <c r="K6" s="5" t="str">
        <f>IFERROR(__xludf.DUMMYFUNCTION("GOOGLETRANSLATE(H6,""en"",""az"")"),"Gün ərzində")</f>
        <v>Gün ərzində</v>
      </c>
    </row>
    <row r="7">
      <c r="A7" s="1" t="s">
        <v>9</v>
      </c>
      <c r="B7" s="1">
        <v>5.0</v>
      </c>
      <c r="C7" s="1">
        <v>1.0</v>
      </c>
      <c r="D7" s="1">
        <v>6.0</v>
      </c>
      <c r="E7" s="2" t="s">
        <v>30</v>
      </c>
      <c r="F7" s="3" t="s">
        <v>31</v>
      </c>
      <c r="G7" s="4">
        <v>1254.0</v>
      </c>
      <c r="H7" s="3" t="s">
        <v>32</v>
      </c>
      <c r="I7" s="3" t="s">
        <v>33</v>
      </c>
      <c r="J7" s="5" t="str">
        <f>IFERROR(__xludf.DUMMYFUNCTION("GOOGLETRANSLATE(I7,""en"",""az"")"),"Fe'l - Qal - Məsdər konstruksiyası")</f>
        <v>Fe'l - Qal - Məsdər konstruksiyası</v>
      </c>
      <c r="K7" s="5" t="str">
        <f>IFERROR(__xludf.DUMMYFUNCTION("GOOGLETRANSLATE(H7,""en"",""az"")"),"yaratmış")</f>
        <v>yaratmış</v>
      </c>
    </row>
    <row r="8">
      <c r="A8" s="1" t="s">
        <v>9</v>
      </c>
      <c r="B8" s="1">
        <v>5.0</v>
      </c>
      <c r="C8" s="1">
        <v>1.0</v>
      </c>
      <c r="D8" s="1">
        <v>7.0</v>
      </c>
      <c r="E8" s="2" t="s">
        <v>34</v>
      </c>
      <c r="F8" s="3" t="s">
        <v>35</v>
      </c>
      <c r="G8" s="4">
        <v>430.0</v>
      </c>
      <c r="H8" s="3" t="s">
        <v>36</v>
      </c>
      <c r="I8" s="3" t="s">
        <v>37</v>
      </c>
      <c r="J8" s="5" t="str">
        <f>IFERROR(__xludf.DUMMYFUNCTION("GOOGLETRANSLATE(I8,""en"",""az"")"),"İsim - kişi cəm halı")</f>
        <v>İsim - kişi cəm halı</v>
      </c>
      <c r="K8" s="5" t="str">
        <f>IFERROR(__xludf.DUMMYFUNCTION("GOOGLETRANSLATE(H8,""en"",""az"")"),"Tanrı")</f>
        <v>Tanrı</v>
      </c>
    </row>
    <row r="9">
      <c r="A9" s="1" t="s">
        <v>9</v>
      </c>
      <c r="B9" s="1">
        <v>5.0</v>
      </c>
      <c r="C9" s="1">
        <v>1.0</v>
      </c>
      <c r="D9" s="1">
        <v>8.0</v>
      </c>
      <c r="E9" s="2" t="s">
        <v>38</v>
      </c>
      <c r="F9" s="3" t="s">
        <v>39</v>
      </c>
      <c r="G9" s="4">
        <v>120.0</v>
      </c>
      <c r="H9" s="3" t="s">
        <v>40</v>
      </c>
      <c r="I9" s="3" t="s">
        <v>41</v>
      </c>
      <c r="J9" s="5" t="str">
        <f>IFERROR(__xludf.DUMMYFUNCTION("GOOGLETRANSLATE(I9,""en"",""az"")"),"Isim - kişi cinsində tək")</f>
        <v>Isim - kişi cinsində tək</v>
      </c>
      <c r="K9" s="5" t="str">
        <f>IFERROR(__xludf.DUMMYFUNCTION("GOOGLETRANSLATE(H9,""en"",""az"")"),"kişi")</f>
        <v>kişi</v>
      </c>
    </row>
    <row r="10">
      <c r="A10" s="1" t="s">
        <v>9</v>
      </c>
      <c r="B10" s="1">
        <v>5.0</v>
      </c>
      <c r="C10" s="1">
        <v>1.0</v>
      </c>
      <c r="D10" s="1">
        <v>9.0</v>
      </c>
      <c r="E10" s="2" t="s">
        <v>42</v>
      </c>
      <c r="F10" s="3" t="s">
        <v>43</v>
      </c>
      <c r="G10" s="4">
        <v>1823.0</v>
      </c>
      <c r="H10" s="3" t="s">
        <v>44</v>
      </c>
      <c r="I10" s="3" t="s">
        <v>45</v>
      </c>
      <c r="J10" s="5" t="str">
        <f>IFERROR(__xludf.DUMMYFUNCTION("GOOGLETRANSLATE(I10,""en"",""az"")"),"B sözönü :: İsim - qadın cinsi tək quruluşu")</f>
        <v>B sözönü :: İsim - qadın cinsi tək quruluşu</v>
      </c>
      <c r="K10" s="5" t="str">
        <f>IFERROR(__xludf.DUMMYFUNCTION("GOOGLETRANSLATE(H10,""en"",""az"")"),"bənzərlikdə")</f>
        <v>bənzərlikdə</v>
      </c>
    </row>
    <row r="11">
      <c r="A11" s="1" t="s">
        <v>9</v>
      </c>
      <c r="B11" s="1">
        <v>5.0</v>
      </c>
      <c r="C11" s="1">
        <v>1.0</v>
      </c>
      <c r="D11" s="1">
        <v>10.0</v>
      </c>
      <c r="E11" s="2" t="s">
        <v>46</v>
      </c>
      <c r="F11" s="3" t="s">
        <v>35</v>
      </c>
      <c r="G11" s="4">
        <v>430.0</v>
      </c>
      <c r="H11" s="3" t="s">
        <v>47</v>
      </c>
      <c r="I11" s="3" t="s">
        <v>37</v>
      </c>
      <c r="J11" s="5" t="str">
        <f>IFERROR(__xludf.DUMMYFUNCTION("GOOGLETRANSLATE(I11,""en"",""az"")"),"İsim - kişi cəm halı")</f>
        <v>İsim - kişi cəm halı</v>
      </c>
      <c r="K11" s="5" t="str">
        <f>IFERROR(__xludf.DUMMYFUNCTION("GOOGLETRANSLATE(H11,""en"",""az"")"),"Tanrının")</f>
        <v>Tanrının</v>
      </c>
    </row>
    <row r="12">
      <c r="A12" s="1" t="s">
        <v>9</v>
      </c>
      <c r="B12" s="1">
        <v>5.0</v>
      </c>
      <c r="C12" s="1">
        <v>1.0</v>
      </c>
      <c r="D12" s="1">
        <v>11.0</v>
      </c>
      <c r="E12" s="2" t="s">
        <v>48</v>
      </c>
      <c r="F12" s="3" t="s">
        <v>49</v>
      </c>
      <c r="G12" s="4">
        <v>6213.0</v>
      </c>
      <c r="H12" s="3" t="s">
        <v>50</v>
      </c>
      <c r="I12" s="3" t="s">
        <v>51</v>
      </c>
      <c r="J12" s="5" t="str">
        <f>IFERROR(__xludf.DUMMYFUNCTION("GOOGLETRANSLATE(I12,""en"",""az"")"),"Fe'l - Qal - Perfect - üçüncü şəxs kişi formasında tək")</f>
        <v>Fe'l - Qal - Perfect - üçüncü şəxs kişi formasında tək</v>
      </c>
      <c r="K12" s="5" t="str">
        <f>IFERROR(__xludf.DUMMYFUNCTION("GOOGLETRANSLATE(H12,""en"",""az"")"),"O etdi")</f>
        <v>O etdi</v>
      </c>
    </row>
    <row r="13">
      <c r="A13" s="1" t="s">
        <v>9</v>
      </c>
      <c r="B13" s="1">
        <v>5.0</v>
      </c>
      <c r="C13" s="1">
        <v>1.0</v>
      </c>
      <c r="D13" s="1">
        <v>12.0</v>
      </c>
      <c r="E13" s="2" t="s">
        <v>52</v>
      </c>
      <c r="F13" s="3" t="s">
        <v>53</v>
      </c>
      <c r="G13" s="4">
        <v>853.0</v>
      </c>
      <c r="H13" s="3" t="s">
        <v>54</v>
      </c>
      <c r="I13" s="3" t="s">
        <v>55</v>
      </c>
      <c r="J13" s="5" t="str">
        <f>IFERROR(__xludf.DUMMYFUNCTION("GOOGLETRANSLATE(I13,""en"",""az"")"),"Birbaşa obyekt işarəsi :: üçüncü şəxs kişi tək")</f>
        <v>Birbaşa obyekt işarəsi :: üçüncü şəxs kişi tək</v>
      </c>
      <c r="K13" s="5" t="str">
        <f>IFERROR(__xludf.DUMMYFUNCTION("GOOGLETRANSLATE(H13,""en"",""az"")"),"onu")</f>
        <v>onu</v>
      </c>
    </row>
    <row r="14">
      <c r="A14" s="1" t="s">
        <v>9</v>
      </c>
      <c r="B14" s="1">
        <v>5.0</v>
      </c>
      <c r="C14" s="1">
        <v>2.0</v>
      </c>
      <c r="D14" s="1">
        <v>1.0</v>
      </c>
      <c r="E14" s="2" t="s">
        <v>56</v>
      </c>
      <c r="F14" s="3" t="s">
        <v>57</v>
      </c>
      <c r="G14" s="4">
        <v>2145.0</v>
      </c>
      <c r="H14" s="3" t="s">
        <v>58</v>
      </c>
      <c r="I14" s="3" t="s">
        <v>41</v>
      </c>
      <c r="J14" s="5" t="str">
        <f>IFERROR(__xludf.DUMMYFUNCTION("GOOGLETRANSLATE(I14,""en"",""az"")"),"Isim - kişi cinsində tək")</f>
        <v>Isim - kişi cinsində tək</v>
      </c>
      <c r="K14" s="5" t="str">
        <f>IFERROR(__xludf.DUMMYFUNCTION("GOOGLETRANSLATE(H14,""en"",""az"")"),"erkək")</f>
        <v>erkək</v>
      </c>
    </row>
    <row r="15">
      <c r="A15" s="1" t="s">
        <v>9</v>
      </c>
      <c r="B15" s="1">
        <v>5.0</v>
      </c>
      <c r="C15" s="1">
        <v>2.0</v>
      </c>
      <c r="D15" s="1">
        <v>2.0</v>
      </c>
      <c r="E15" s="2" t="s">
        <v>59</v>
      </c>
      <c r="F15" s="3" t="s">
        <v>60</v>
      </c>
      <c r="G15" s="4">
        <v>5347.0</v>
      </c>
      <c r="H15" s="3" t="s">
        <v>61</v>
      </c>
      <c r="I15" s="3" t="s">
        <v>62</v>
      </c>
      <c r="J15" s="5" t="str">
        <f>IFERROR(__xludf.DUMMYFUNCTION("GOOGLETRANSLATE(I15,""en"",""az"")"),"Bağlayıcı waw :: İsim - qadın cinsi tək")</f>
        <v>Bağlayıcı waw :: İsim - qadın cinsi tək</v>
      </c>
      <c r="K15" s="5" t="str">
        <f>IFERROR(__xludf.DUMMYFUNCTION("GOOGLETRANSLATE(H15,""en"",""az"")"),"və qadın")</f>
        <v>və qadın</v>
      </c>
    </row>
    <row r="16">
      <c r="A16" s="1" t="s">
        <v>9</v>
      </c>
      <c r="B16" s="1">
        <v>5.0</v>
      </c>
      <c r="C16" s="1">
        <v>2.0</v>
      </c>
      <c r="D16" s="1">
        <v>3.0</v>
      </c>
      <c r="E16" s="2" t="s">
        <v>63</v>
      </c>
      <c r="F16" s="3" t="s">
        <v>64</v>
      </c>
      <c r="G16" s="4">
        <v>1254.0</v>
      </c>
      <c r="H16" s="3" t="s">
        <v>65</v>
      </c>
      <c r="I16" s="3" t="s">
        <v>66</v>
      </c>
      <c r="J16" s="5" t="str">
        <f>IFERROR(__xludf.DUMMYFUNCTION("GOOGLETRANSLATE(I16,""en"",""az"")"),"Fe'l - Qal - Tamam - üçüncü şəxs kişi cinsində tək :: üçüncü şəxs kişi cinsində cəm")</f>
        <v>Fe'l - Qal - Tamam - üçüncü şəxs kişi cinsində tək :: üçüncü şəxs kişi cinsində cəm</v>
      </c>
      <c r="K16" s="5" t="str">
        <f>IFERROR(__xludf.DUMMYFUNCTION("GOOGLETRANSLATE(H16,""en"",""az"")"),"Onları O yaratdı")</f>
        <v>Onları O yaratdı</v>
      </c>
    </row>
    <row r="17">
      <c r="A17" s="1" t="s">
        <v>9</v>
      </c>
      <c r="B17" s="1">
        <v>5.0</v>
      </c>
      <c r="C17" s="1">
        <v>2.0</v>
      </c>
      <c r="D17" s="1">
        <v>4.0</v>
      </c>
      <c r="E17" s="2" t="s">
        <v>67</v>
      </c>
      <c r="F17" s="3" t="s">
        <v>68</v>
      </c>
      <c r="G17" s="4">
        <v>1288.0</v>
      </c>
      <c r="H17" s="3" t="s">
        <v>69</v>
      </c>
      <c r="I17" s="3" t="s">
        <v>70</v>
      </c>
      <c r="J17" s="5" t="str">
        <f>IFERROR(__xludf.DUMMYFUNCTION("GOOGLETRANSLATE(I17,""en"",""az"")"),"Bağlayıcı waw :: Fe'l - Piel - Ardıcıl natamam - üçüncü şəxs kişi formasında tək")</f>
        <v>Bağlayıcı waw :: Fe'l - Piel - Ardıcıl natamam - üçüncü şəxs kişi formasında tək</v>
      </c>
      <c r="K17" s="5" t="str">
        <f>IFERROR(__xludf.DUMMYFUNCTION("GOOGLETRANSLATE(H17,""en"",""az"")"),"və O, xeyir-dua verdi")</f>
        <v>və O, xeyir-dua verdi</v>
      </c>
    </row>
    <row r="18">
      <c r="A18" s="1" t="s">
        <v>9</v>
      </c>
      <c r="B18" s="1">
        <v>5.0</v>
      </c>
      <c r="C18" s="1">
        <v>2.0</v>
      </c>
      <c r="D18" s="1">
        <v>5.0</v>
      </c>
      <c r="E18" s="2" t="s">
        <v>71</v>
      </c>
      <c r="F18" s="3" t="s">
        <v>72</v>
      </c>
      <c r="G18" s="4">
        <v>853.0</v>
      </c>
      <c r="H18" s="3" t="s">
        <v>73</v>
      </c>
      <c r="I18" s="3" t="s">
        <v>74</v>
      </c>
      <c r="J18" s="5" t="str">
        <f>IFERROR(__xludf.DUMMYFUNCTION("GOOGLETRANSLATE(I18,""en"",""az"")"),"Birbaşa obyekt işarəsi :: üçüncü şəxs kişi cəm")</f>
        <v>Birbaşa obyekt işarəsi :: üçüncü şəxs kişi cəm</v>
      </c>
      <c r="K18" s="5" t="str">
        <f>IFERROR(__xludf.DUMMYFUNCTION("GOOGLETRANSLATE(H18,""en"",""az"")"),"onları")</f>
        <v>onları</v>
      </c>
    </row>
    <row r="19">
      <c r="A19" s="1" t="s">
        <v>9</v>
      </c>
      <c r="B19" s="1">
        <v>5.0</v>
      </c>
      <c r="C19" s="1">
        <v>2.0</v>
      </c>
      <c r="D19" s="1">
        <v>6.0</v>
      </c>
      <c r="E19" s="2" t="s">
        <v>75</v>
      </c>
      <c r="F19" s="3" t="s">
        <v>76</v>
      </c>
      <c r="G19" s="4">
        <v>7121.0</v>
      </c>
      <c r="H19" s="3" t="s">
        <v>77</v>
      </c>
      <c r="I19" s="3" t="s">
        <v>78</v>
      </c>
      <c r="J19" s="5" t="str">
        <f>IFERROR(__xludf.DUMMYFUNCTION("GOOGLETRANSLATE(I19,""en"",""az"")"),"Bağlayıcı waw :: Feil - Qal - Ardıcıl natamam - üçüncü şəxs kişi halında tək")</f>
        <v>Bağlayıcı waw :: Feil - Qal - Ardıcıl natamam - üçüncü şəxs kişi halında tək</v>
      </c>
      <c r="K19" s="5" t="str">
        <f>IFERROR(__xludf.DUMMYFUNCTION("GOOGLETRANSLATE(H19,""en"",""az"")"),"və çağırdı")</f>
        <v>və çağırdı</v>
      </c>
    </row>
    <row r="20">
      <c r="A20" s="1" t="s">
        <v>9</v>
      </c>
      <c r="B20" s="1">
        <v>5.0</v>
      </c>
      <c r="C20" s="1">
        <v>2.0</v>
      </c>
      <c r="D20" s="1">
        <v>7.0</v>
      </c>
      <c r="E20" s="2" t="s">
        <v>79</v>
      </c>
      <c r="F20" s="3" t="s">
        <v>80</v>
      </c>
      <c r="G20" s="4">
        <v>853.0</v>
      </c>
      <c r="H20" s="3" t="s">
        <v>81</v>
      </c>
      <c r="I20" s="3" t="s">
        <v>82</v>
      </c>
      <c r="J20" s="5" t="str">
        <f>IFERROR(__xludf.DUMMYFUNCTION("GOOGLETRANSLATE(I20,""en"",""az"")"),"Birbaşa obyekt marker")</f>
        <v>Birbaşa obyekt marker</v>
      </c>
      <c r="K20" s="5" t="str">
        <f>IFERROR(__xludf.DUMMYFUNCTION("GOOGLETRANSLATE(H20,""en"",""az"")"),"-")</f>
        <v>-</v>
      </c>
    </row>
    <row r="21">
      <c r="A21" s="1" t="s">
        <v>9</v>
      </c>
      <c r="B21" s="1">
        <v>5.0</v>
      </c>
      <c r="C21" s="1">
        <v>2.0</v>
      </c>
      <c r="D21" s="1">
        <v>8.0</v>
      </c>
      <c r="E21" s="2" t="s">
        <v>83</v>
      </c>
      <c r="F21" s="3" t="s">
        <v>84</v>
      </c>
      <c r="G21" s="4">
        <v>8034.0</v>
      </c>
      <c r="H21" s="3" t="s">
        <v>73</v>
      </c>
      <c r="I21" s="3" t="s">
        <v>85</v>
      </c>
      <c r="J21" s="5" t="str">
        <f>IFERROR(__xludf.DUMMYFUNCTION("GOOGLETRANSLATE(I21,""en"",""az"")"),"İsim - kişi cinsində tək konstruksiya :: üçüncü şəxs kişi cinsində cəm")</f>
        <v>İsim - kişi cinsində tək konstruksiya :: üçüncü şəxs kişi cinsində cəm</v>
      </c>
      <c r="K21" s="5" t="str">
        <f>IFERROR(__xludf.DUMMYFUNCTION("GOOGLETRANSLATE(H21,""en"",""az"")"),"onları")</f>
        <v>onları</v>
      </c>
    </row>
    <row r="22">
      <c r="A22" s="1" t="s">
        <v>9</v>
      </c>
      <c r="B22" s="1">
        <v>5.0</v>
      </c>
      <c r="C22" s="1">
        <v>2.0</v>
      </c>
      <c r="D22" s="1">
        <v>9.0</v>
      </c>
      <c r="E22" s="2" t="s">
        <v>38</v>
      </c>
      <c r="F22" s="3" t="s">
        <v>39</v>
      </c>
      <c r="G22" s="4">
        <v>120.0</v>
      </c>
      <c r="H22" s="3" t="s">
        <v>40</v>
      </c>
      <c r="I22" s="3" t="s">
        <v>41</v>
      </c>
      <c r="J22" s="5" t="str">
        <f>IFERROR(__xludf.DUMMYFUNCTION("GOOGLETRANSLATE(I22,""en"",""az"")"),"Isim - kişi cinsində tək")</f>
        <v>Isim - kişi cinsində tək</v>
      </c>
      <c r="K22" s="5" t="str">
        <f>IFERROR(__xludf.DUMMYFUNCTION("GOOGLETRANSLATE(H22,""en"",""az"")"),"kişi")</f>
        <v>kişi</v>
      </c>
    </row>
    <row r="23">
      <c r="A23" s="1" t="s">
        <v>9</v>
      </c>
      <c r="B23" s="1">
        <v>5.0</v>
      </c>
      <c r="C23" s="1">
        <v>2.0</v>
      </c>
      <c r="D23" s="1">
        <v>10.0</v>
      </c>
      <c r="E23" s="2" t="s">
        <v>86</v>
      </c>
      <c r="F23" s="3" t="s">
        <v>87</v>
      </c>
      <c r="G23" s="4">
        <v>3117.0</v>
      </c>
      <c r="H23" s="3" t="s">
        <v>88</v>
      </c>
      <c r="I23" s="3" t="s">
        <v>29</v>
      </c>
      <c r="J23" s="5" t="str">
        <f>IFERROR(__xludf.DUMMYFUNCTION("GOOGLETRANSLATE(I23,""en"",""az"")"),"B sözönü :: İsim - kişi cinsində tək konstruksiya")</f>
        <v>B sözönü :: İsim - kişi cinsində tək konstruksiya</v>
      </c>
      <c r="K23" s="5" t="str">
        <f>IFERROR(__xludf.DUMMYFUNCTION("GOOGLETRANSLATE(H23,""en"",""az"")"),"gün ərzində")</f>
        <v>gün ərzində</v>
      </c>
    </row>
    <row r="24">
      <c r="A24" s="1" t="s">
        <v>9</v>
      </c>
      <c r="B24" s="1">
        <v>5.0</v>
      </c>
      <c r="C24" s="1">
        <v>2.0</v>
      </c>
      <c r="D24" s="1">
        <v>11.0</v>
      </c>
      <c r="E24" s="2" t="s">
        <v>89</v>
      </c>
      <c r="F24" s="3" t="s">
        <v>90</v>
      </c>
      <c r="G24" s="4">
        <v>1254.0</v>
      </c>
      <c r="H24" s="3" t="s">
        <v>91</v>
      </c>
      <c r="I24" s="3" t="s">
        <v>92</v>
      </c>
      <c r="J24" s="5" t="str">
        <f>IFERROR(__xludf.DUMMYFUNCTION("GOOGLETRANSLATE(I24,""en"",""az"")"),"Feil - Nifal - Məsdər konstruksiyası :: üçüncü şəxs kişi cəm forması")</f>
        <v>Feil - Nifal - Məsdər konstruksiyası :: üçüncü şəxs kişi cəm forması</v>
      </c>
      <c r="K24" s="5" t="str">
        <f>IFERROR(__xludf.DUMMYFUNCTION("GOOGLETRANSLATE(H24,""en"",""az"")"),"onlar yaradıldılar")</f>
        <v>onlar yaradıldılar</v>
      </c>
    </row>
    <row r="25">
      <c r="A25" s="1" t="s">
        <v>9</v>
      </c>
      <c r="B25" s="1">
        <v>5.0</v>
      </c>
      <c r="C25" s="1">
        <v>2.0</v>
      </c>
      <c r="D25" s="1">
        <v>12.0</v>
      </c>
      <c r="E25" s="2" t="s">
        <v>93</v>
      </c>
      <c r="F25" s="3" t="s">
        <v>94</v>
      </c>
      <c r="G25" s="6"/>
      <c r="H25" s="3" t="s">
        <v>81</v>
      </c>
      <c r="I25" s="3" t="s">
        <v>95</v>
      </c>
      <c r="J25" s="5" t="str">
        <f>IFERROR(__xludf.DUMMYFUNCTION("GOOGLETRANSLATE(I25,""en"",""az"")"),"Durğu işarələri")</f>
        <v>Durğu işarələri</v>
      </c>
      <c r="K25" s="5" t="str">
        <f>IFERROR(__xludf.DUMMYFUNCTION("GOOGLETRANSLATE(H25,""en"",""az"")"),"-")</f>
        <v>-</v>
      </c>
    </row>
    <row r="26">
      <c r="A26" s="1" t="s">
        <v>9</v>
      </c>
      <c r="B26" s="1">
        <v>5.0</v>
      </c>
      <c r="C26" s="1">
        <v>3.0</v>
      </c>
      <c r="D26" s="1">
        <v>1.0</v>
      </c>
      <c r="E26" s="2" t="s">
        <v>56</v>
      </c>
      <c r="F26" s="3" t="s">
        <v>57</v>
      </c>
      <c r="G26" s="4">
        <v>2145.0</v>
      </c>
      <c r="H26" s="3" t="s">
        <v>58</v>
      </c>
      <c r="I26" s="3" t="s">
        <v>41</v>
      </c>
      <c r="J26" s="5" t="str">
        <f>IFERROR(__xludf.DUMMYFUNCTION("GOOGLETRANSLATE(I26,""en"",""az"")"),"Isim - kişi cinsində tək")</f>
        <v>Isim - kişi cinsində tək</v>
      </c>
      <c r="K26" s="5" t="str">
        <f>IFERROR(__xludf.DUMMYFUNCTION("GOOGLETRANSLATE(H26,""en"",""az"")"),"erkək")</f>
        <v>erkək</v>
      </c>
    </row>
    <row r="27">
      <c r="A27" s="1" t="s">
        <v>9</v>
      </c>
      <c r="B27" s="1">
        <v>5.0</v>
      </c>
      <c r="C27" s="1">
        <v>3.0</v>
      </c>
      <c r="D27" s="1">
        <v>2.0</v>
      </c>
      <c r="E27" s="2" t="s">
        <v>59</v>
      </c>
      <c r="F27" s="3" t="s">
        <v>60</v>
      </c>
      <c r="G27" s="4">
        <v>5347.0</v>
      </c>
      <c r="H27" s="3" t="s">
        <v>61</v>
      </c>
      <c r="I27" s="3" t="s">
        <v>62</v>
      </c>
      <c r="J27" s="5" t="str">
        <f>IFERROR(__xludf.DUMMYFUNCTION("GOOGLETRANSLATE(I27,""en"",""az"")"),"Bağlayıcı waw :: İsim - qadın cinsi tək")</f>
        <v>Bağlayıcı waw :: İsim - qadın cinsi tək</v>
      </c>
      <c r="K27" s="5" t="str">
        <f>IFERROR(__xludf.DUMMYFUNCTION("GOOGLETRANSLATE(H27,""en"",""az"")"),"və qadın")</f>
        <v>və qadın</v>
      </c>
    </row>
    <row r="28">
      <c r="A28" s="1" t="s">
        <v>9</v>
      </c>
      <c r="B28" s="1">
        <v>5.0</v>
      </c>
      <c r="C28" s="1">
        <v>3.0</v>
      </c>
      <c r="D28" s="1">
        <v>3.0</v>
      </c>
      <c r="E28" s="2" t="s">
        <v>63</v>
      </c>
      <c r="F28" s="3" t="s">
        <v>64</v>
      </c>
      <c r="G28" s="4">
        <v>1254.0</v>
      </c>
      <c r="H28" s="3" t="s">
        <v>65</v>
      </c>
      <c r="I28" s="3" t="s">
        <v>66</v>
      </c>
      <c r="J28" s="5" t="str">
        <f>IFERROR(__xludf.DUMMYFUNCTION("GOOGLETRANSLATE(I28,""en"",""az"")"),"Fe'l - Qal - Tamam - üçüncü şəxs kişi cinsində tək :: üçüncü şəxs kişi cinsində cəm")</f>
        <v>Fe'l - Qal - Tamam - üçüncü şəxs kişi cinsində tək :: üçüncü şəxs kişi cinsində cəm</v>
      </c>
      <c r="K28" s="5" t="str">
        <f>IFERROR(__xludf.DUMMYFUNCTION("GOOGLETRANSLATE(H28,""en"",""az"")"),"Onları O yaratdı")</f>
        <v>Onları O yaratdı</v>
      </c>
    </row>
    <row r="29">
      <c r="A29" s="1" t="s">
        <v>9</v>
      </c>
      <c r="B29" s="1">
        <v>5.0</v>
      </c>
      <c r="C29" s="1">
        <v>3.0</v>
      </c>
      <c r="D29" s="1">
        <v>4.0</v>
      </c>
      <c r="E29" s="2" t="s">
        <v>67</v>
      </c>
      <c r="F29" s="3" t="s">
        <v>68</v>
      </c>
      <c r="G29" s="4">
        <v>1288.0</v>
      </c>
      <c r="H29" s="3" t="s">
        <v>69</v>
      </c>
      <c r="I29" s="3" t="s">
        <v>70</v>
      </c>
      <c r="J29" s="5" t="str">
        <f>IFERROR(__xludf.DUMMYFUNCTION("GOOGLETRANSLATE(I29,""en"",""az"")"),"Bağlayıcı waw :: Fe'l - Piel - Ardıcıl natamam - üçüncü şəxs kişi formasında tək")</f>
        <v>Bağlayıcı waw :: Fe'l - Piel - Ardıcıl natamam - üçüncü şəxs kişi formasında tək</v>
      </c>
      <c r="K29" s="5" t="str">
        <f>IFERROR(__xludf.DUMMYFUNCTION("GOOGLETRANSLATE(H29,""en"",""az"")"),"və O, xeyir-dua verdi")</f>
        <v>və O, xeyir-dua verdi</v>
      </c>
    </row>
    <row r="30">
      <c r="A30" s="1" t="s">
        <v>9</v>
      </c>
      <c r="B30" s="1">
        <v>5.0</v>
      </c>
      <c r="C30" s="1">
        <v>3.0</v>
      </c>
      <c r="D30" s="1">
        <v>5.0</v>
      </c>
      <c r="E30" s="2" t="s">
        <v>71</v>
      </c>
      <c r="F30" s="3" t="s">
        <v>72</v>
      </c>
      <c r="G30" s="4">
        <v>853.0</v>
      </c>
      <c r="H30" s="3" t="s">
        <v>73</v>
      </c>
      <c r="I30" s="3" t="s">
        <v>74</v>
      </c>
      <c r="J30" s="5" t="str">
        <f>IFERROR(__xludf.DUMMYFUNCTION("GOOGLETRANSLATE(I30,""en"",""az"")"),"Birbaşa obyekt işarəsi :: üçüncü şəxs kişi cəm")</f>
        <v>Birbaşa obyekt işarəsi :: üçüncü şəxs kişi cəm</v>
      </c>
      <c r="K30" s="5" t="str">
        <f>IFERROR(__xludf.DUMMYFUNCTION("GOOGLETRANSLATE(H30,""en"",""az"")"),"onları")</f>
        <v>onları</v>
      </c>
    </row>
    <row r="31">
      <c r="A31" s="1" t="s">
        <v>9</v>
      </c>
      <c r="B31" s="1">
        <v>5.0</v>
      </c>
      <c r="C31" s="1">
        <v>3.0</v>
      </c>
      <c r="D31" s="1">
        <v>6.0</v>
      </c>
      <c r="E31" s="2" t="s">
        <v>75</v>
      </c>
      <c r="F31" s="3" t="s">
        <v>76</v>
      </c>
      <c r="G31" s="4">
        <v>7121.0</v>
      </c>
      <c r="H31" s="3" t="s">
        <v>77</v>
      </c>
      <c r="I31" s="3" t="s">
        <v>78</v>
      </c>
      <c r="J31" s="5" t="str">
        <f>IFERROR(__xludf.DUMMYFUNCTION("GOOGLETRANSLATE(I31,""en"",""az"")"),"Bağlayıcı waw :: Feil - Qal - Ardıcıl natamam - üçüncü şəxs kişi halında tək")</f>
        <v>Bağlayıcı waw :: Feil - Qal - Ardıcıl natamam - üçüncü şəxs kişi halında tək</v>
      </c>
      <c r="K31" s="5" t="str">
        <f>IFERROR(__xludf.DUMMYFUNCTION("GOOGLETRANSLATE(H31,""en"",""az"")"),"və çağırdı")</f>
        <v>və çağırdı</v>
      </c>
    </row>
    <row r="32">
      <c r="A32" s="1" t="s">
        <v>9</v>
      </c>
      <c r="B32" s="1">
        <v>5.0</v>
      </c>
      <c r="C32" s="1">
        <v>3.0</v>
      </c>
      <c r="D32" s="1">
        <v>7.0</v>
      </c>
      <c r="E32" s="2" t="s">
        <v>79</v>
      </c>
      <c r="F32" s="3" t="s">
        <v>80</v>
      </c>
      <c r="G32" s="4">
        <v>853.0</v>
      </c>
      <c r="H32" s="3" t="s">
        <v>81</v>
      </c>
      <c r="I32" s="3" t="s">
        <v>82</v>
      </c>
      <c r="J32" s="5" t="str">
        <f>IFERROR(__xludf.DUMMYFUNCTION("GOOGLETRANSLATE(I32,""en"",""az"")"),"Birbaşa obyekt marker")</f>
        <v>Birbaşa obyekt marker</v>
      </c>
      <c r="K32" s="5" t="str">
        <f>IFERROR(__xludf.DUMMYFUNCTION("GOOGLETRANSLATE(H32,""en"",""az"")"),"-")</f>
        <v>-</v>
      </c>
    </row>
    <row r="33">
      <c r="A33" s="1" t="s">
        <v>9</v>
      </c>
      <c r="B33" s="1">
        <v>5.0</v>
      </c>
      <c r="C33" s="1">
        <v>3.0</v>
      </c>
      <c r="D33" s="1">
        <v>8.0</v>
      </c>
      <c r="E33" s="2" t="s">
        <v>83</v>
      </c>
      <c r="F33" s="3" t="s">
        <v>84</v>
      </c>
      <c r="G33" s="4">
        <v>8034.0</v>
      </c>
      <c r="H33" s="3" t="s">
        <v>73</v>
      </c>
      <c r="I33" s="3" t="s">
        <v>85</v>
      </c>
      <c r="J33" s="5" t="str">
        <f>IFERROR(__xludf.DUMMYFUNCTION("GOOGLETRANSLATE(I33,""en"",""az"")"),"İsim - kişi cinsində tək konstruksiya :: üçüncü şəxs kişi cinsində cəm")</f>
        <v>İsim - kişi cinsində tək konstruksiya :: üçüncü şəxs kişi cinsində cəm</v>
      </c>
      <c r="K33" s="5" t="str">
        <f>IFERROR(__xludf.DUMMYFUNCTION("GOOGLETRANSLATE(H33,""en"",""az"")"),"onları")</f>
        <v>onları</v>
      </c>
    </row>
    <row r="34">
      <c r="A34" s="1" t="s">
        <v>9</v>
      </c>
      <c r="B34" s="1">
        <v>5.0</v>
      </c>
      <c r="C34" s="1">
        <v>3.0</v>
      </c>
      <c r="D34" s="1">
        <v>9.0</v>
      </c>
      <c r="E34" s="2" t="s">
        <v>38</v>
      </c>
      <c r="F34" s="3" t="s">
        <v>39</v>
      </c>
      <c r="G34" s="4">
        <v>120.0</v>
      </c>
      <c r="H34" s="3" t="s">
        <v>40</v>
      </c>
      <c r="I34" s="3" t="s">
        <v>41</v>
      </c>
      <c r="J34" s="5" t="str">
        <f>IFERROR(__xludf.DUMMYFUNCTION("GOOGLETRANSLATE(I34,""en"",""az"")"),"Isim - kişi cinsində tək")</f>
        <v>Isim - kişi cinsində tək</v>
      </c>
      <c r="K34" s="5" t="str">
        <f>IFERROR(__xludf.DUMMYFUNCTION("GOOGLETRANSLATE(H34,""en"",""az"")"),"kişi")</f>
        <v>kişi</v>
      </c>
    </row>
    <row r="35">
      <c r="A35" s="1" t="s">
        <v>9</v>
      </c>
      <c r="B35" s="1">
        <v>5.0</v>
      </c>
      <c r="C35" s="1">
        <v>3.0</v>
      </c>
      <c r="D35" s="1">
        <v>10.0</v>
      </c>
      <c r="E35" s="2" t="s">
        <v>86</v>
      </c>
      <c r="F35" s="3" t="s">
        <v>87</v>
      </c>
      <c r="G35" s="4">
        <v>3117.0</v>
      </c>
      <c r="H35" s="3" t="s">
        <v>88</v>
      </c>
      <c r="I35" s="3" t="s">
        <v>29</v>
      </c>
      <c r="J35" s="5" t="str">
        <f>IFERROR(__xludf.DUMMYFUNCTION("GOOGLETRANSLATE(I35,""en"",""az"")"),"B sözönü :: İsim - kişi cinsində tək konstruksiya")</f>
        <v>B sözönü :: İsim - kişi cinsində tək konstruksiya</v>
      </c>
      <c r="K35" s="5" t="str">
        <f>IFERROR(__xludf.DUMMYFUNCTION("GOOGLETRANSLATE(H35,""en"",""az"")"),"gün ərzində")</f>
        <v>gün ərzində</v>
      </c>
    </row>
    <row r="36">
      <c r="A36" s="1" t="s">
        <v>9</v>
      </c>
      <c r="B36" s="1">
        <v>5.0</v>
      </c>
      <c r="C36" s="1">
        <v>3.0</v>
      </c>
      <c r="D36" s="1">
        <v>11.0</v>
      </c>
      <c r="E36" s="2" t="s">
        <v>89</v>
      </c>
      <c r="F36" s="3" t="s">
        <v>90</v>
      </c>
      <c r="G36" s="4">
        <v>1254.0</v>
      </c>
      <c r="H36" s="3" t="s">
        <v>91</v>
      </c>
      <c r="I36" s="3" t="s">
        <v>92</v>
      </c>
      <c r="J36" s="5" t="str">
        <f>IFERROR(__xludf.DUMMYFUNCTION("GOOGLETRANSLATE(I36,""en"",""az"")"),"Feil - Nifal - Məsdər konstruksiyası :: üçüncü şəxs kişi cəm forması")</f>
        <v>Feil - Nifal - Məsdər konstruksiyası :: üçüncü şəxs kişi cəm forması</v>
      </c>
      <c r="K36" s="5" t="str">
        <f>IFERROR(__xludf.DUMMYFUNCTION("GOOGLETRANSLATE(H36,""en"",""az"")"),"onlar yaradıldılar")</f>
        <v>onlar yaradıldılar</v>
      </c>
    </row>
    <row r="37">
      <c r="A37" s="1" t="s">
        <v>9</v>
      </c>
      <c r="B37" s="1">
        <v>5.0</v>
      </c>
      <c r="C37" s="1">
        <v>3.0</v>
      </c>
      <c r="D37" s="1">
        <v>12.0</v>
      </c>
      <c r="E37" s="2" t="s">
        <v>93</v>
      </c>
      <c r="F37" s="3" t="s">
        <v>94</v>
      </c>
      <c r="G37" s="6"/>
      <c r="H37" s="3" t="s">
        <v>81</v>
      </c>
      <c r="I37" s="3" t="s">
        <v>95</v>
      </c>
      <c r="J37" s="5" t="str">
        <f>IFERROR(__xludf.DUMMYFUNCTION("GOOGLETRANSLATE(I37,""en"",""az"")"),"Durğu işarələri")</f>
        <v>Durğu işarələri</v>
      </c>
      <c r="K37" s="5" t="str">
        <f>IFERROR(__xludf.DUMMYFUNCTION("GOOGLETRANSLATE(H37,""en"",""az"")"),"-")</f>
        <v>-</v>
      </c>
    </row>
    <row r="38">
      <c r="A38" s="1" t="s">
        <v>9</v>
      </c>
      <c r="B38" s="1">
        <v>5.0</v>
      </c>
      <c r="C38" s="1">
        <v>4.0</v>
      </c>
      <c r="D38" s="1">
        <v>1.0</v>
      </c>
      <c r="E38" s="2" t="s">
        <v>96</v>
      </c>
      <c r="F38" s="3" t="s">
        <v>97</v>
      </c>
      <c r="G38" s="4">
        <v>2421.0</v>
      </c>
      <c r="H38" s="3" t="s">
        <v>98</v>
      </c>
      <c r="I38" s="3" t="s">
        <v>78</v>
      </c>
      <c r="J38" s="5" t="str">
        <f>IFERROR(__xludf.DUMMYFUNCTION("GOOGLETRANSLATE(I38,""en"",""az"")"),"Bağlayıcı waw :: Feil - Qal - Ardıcıl natamam - üçüncü şəxs kişi halında tək")</f>
        <v>Bağlayıcı waw :: Feil - Qal - Ardıcıl natamam - üçüncü şəxs kişi halında tək</v>
      </c>
      <c r="K38" s="5" t="str">
        <f>IFERROR(__xludf.DUMMYFUNCTION("GOOGLETRANSLATE(H38,""en"",""az"")"),"Və yaşadı")</f>
        <v>Və yaşadı</v>
      </c>
    </row>
    <row r="39">
      <c r="A39" s="1" t="s">
        <v>9</v>
      </c>
      <c r="B39" s="1">
        <v>5.0</v>
      </c>
      <c r="C39" s="1">
        <v>4.0</v>
      </c>
      <c r="D39" s="1">
        <v>2.0</v>
      </c>
      <c r="E39" s="2" t="s">
        <v>99</v>
      </c>
      <c r="F39" s="3" t="s">
        <v>39</v>
      </c>
      <c r="G39" s="4">
        <v>121.0</v>
      </c>
      <c r="H39" s="3" t="s">
        <v>100</v>
      </c>
      <c r="I39" s="3" t="s">
        <v>25</v>
      </c>
      <c r="J39" s="5" t="str">
        <f>IFERROR(__xludf.DUMMYFUNCTION("GOOGLETRANSLATE(I39,""en"",""az"")"),"İsim - xüsusi - kişi cinsində tək")</f>
        <v>İsim - xüsusi - kişi cinsində tək</v>
      </c>
      <c r="K39" s="5" t="str">
        <f>IFERROR(__xludf.DUMMYFUNCTION("GOOGLETRANSLATE(H39,""en"",""az"")"),"Adəm")</f>
        <v>Adəm</v>
      </c>
    </row>
    <row r="40">
      <c r="A40" s="1" t="s">
        <v>9</v>
      </c>
      <c r="B40" s="1">
        <v>5.0</v>
      </c>
      <c r="C40" s="1">
        <v>4.0</v>
      </c>
      <c r="D40" s="1">
        <v>3.0</v>
      </c>
      <c r="E40" s="2" t="s">
        <v>101</v>
      </c>
      <c r="F40" s="3" t="s">
        <v>102</v>
      </c>
      <c r="G40" s="4">
        <v>7970.0</v>
      </c>
      <c r="H40" s="3" t="s">
        <v>103</v>
      </c>
      <c r="I40" s="3" t="s">
        <v>104</v>
      </c>
      <c r="J40" s="5" t="str">
        <f>IFERROR(__xludf.DUMMYFUNCTION("GOOGLETRANSLATE(I40,""en"",""az"")"),"Say - ümumi cəm")</f>
        <v>Say - ümumi cəm</v>
      </c>
      <c r="K40" s="5" t="str">
        <f>IFERROR(__xludf.DUMMYFUNCTION("GOOGLETRANSLATE(H40,""en"",""az"")"),"otuz")</f>
        <v>otuz</v>
      </c>
    </row>
    <row r="41">
      <c r="A41" s="1" t="s">
        <v>9</v>
      </c>
      <c r="B41" s="1">
        <v>5.0</v>
      </c>
      <c r="C41" s="1">
        <v>4.0</v>
      </c>
      <c r="D41" s="1">
        <v>4.0</v>
      </c>
      <c r="E41" s="2" t="s">
        <v>105</v>
      </c>
      <c r="F41" s="3" t="s">
        <v>106</v>
      </c>
      <c r="G41" s="4">
        <v>3967.0</v>
      </c>
      <c r="H41" s="3" t="s">
        <v>107</v>
      </c>
      <c r="I41" s="3" t="s">
        <v>108</v>
      </c>
      <c r="J41" s="5" t="str">
        <f>IFERROR(__xludf.DUMMYFUNCTION("GOOGLETRANSLATE(I41,""en"",""az"")"),"Konyunktiv waw :: Say - qadınlıq tək konstruksiyası")</f>
        <v>Konyunktiv waw :: Say - qadınlıq tək konstruksiyası</v>
      </c>
      <c r="K41" s="5" t="str">
        <f>IFERROR(__xludf.DUMMYFUNCTION("GOOGLETRANSLATE(H41,""en"",""az"")"),"və yüz")</f>
        <v>və yüz</v>
      </c>
    </row>
    <row r="42">
      <c r="A42" s="1" t="s">
        <v>9</v>
      </c>
      <c r="B42" s="1">
        <v>5.0</v>
      </c>
      <c r="C42" s="1">
        <v>4.0</v>
      </c>
      <c r="D42" s="1">
        <v>5.0</v>
      </c>
      <c r="E42" s="2" t="s">
        <v>109</v>
      </c>
      <c r="F42" s="3" t="s">
        <v>110</v>
      </c>
      <c r="G42" s="4">
        <v>8141.0</v>
      </c>
      <c r="H42" s="3" t="s">
        <v>111</v>
      </c>
      <c r="I42" s="3" t="s">
        <v>112</v>
      </c>
      <c r="J42" s="5" t="str">
        <f>IFERROR(__xludf.DUMMYFUNCTION("GOOGLETRANSLATE(I42,""en"",""az"")"),"İsim - qadın cinsi tək")</f>
        <v>İsim - qadın cinsi tək</v>
      </c>
      <c r="K42" s="5" t="str">
        <f>IFERROR(__xludf.DUMMYFUNCTION("GOOGLETRANSLATE(H42,""en"",""az"")"),"illər")</f>
        <v>illər</v>
      </c>
    </row>
    <row r="43">
      <c r="A43" s="1" t="s">
        <v>9</v>
      </c>
      <c r="B43" s="1">
        <v>5.0</v>
      </c>
      <c r="C43" s="1">
        <v>4.0</v>
      </c>
      <c r="D43" s="1">
        <v>6.0</v>
      </c>
      <c r="E43" s="2" t="s">
        <v>113</v>
      </c>
      <c r="F43" s="3" t="s">
        <v>114</v>
      </c>
      <c r="G43" s="4">
        <v>3205.0</v>
      </c>
      <c r="H43" s="3" t="s">
        <v>115</v>
      </c>
      <c r="I43" s="3" t="s">
        <v>116</v>
      </c>
      <c r="J43" s="5" t="str">
        <f>IFERROR(__xludf.DUMMYFUNCTION("GOOGLETRANSLATE(I43,""en"",""az"")"),"Bağlayıcı waw :: Fe'l - Hifil - Ardıcıl natamam - üçüncü şəxs kişi formasında tək")</f>
        <v>Bağlayıcı waw :: Fe'l - Hifil - Ardıcıl natamam - üçüncü şəxs kişi formasında tək</v>
      </c>
      <c r="K43" s="5" t="str">
        <f>IFERROR(__xludf.DUMMYFUNCTION("GOOGLETRANSLATE(H43,""en"",""az"")"),"və [bir oğul] dünyaya gətirdi")</f>
        <v>və [bir oğul] dünyaya gətirdi</v>
      </c>
    </row>
    <row r="44">
      <c r="A44" s="1" t="s">
        <v>9</v>
      </c>
      <c r="B44" s="1">
        <v>5.0</v>
      </c>
      <c r="C44" s="1">
        <v>4.0</v>
      </c>
      <c r="D44" s="1">
        <v>7.0</v>
      </c>
      <c r="E44" s="2" t="s">
        <v>117</v>
      </c>
      <c r="F44" s="3" t="s">
        <v>118</v>
      </c>
      <c r="G44" s="4">
        <v>1823.0</v>
      </c>
      <c r="H44" s="3" t="s">
        <v>119</v>
      </c>
      <c r="I44" s="3" t="s">
        <v>120</v>
      </c>
      <c r="J44" s="5" t="str">
        <f>IFERROR(__xludf.DUMMYFUNCTION("GOOGLETRANSLATE(I44,""en"",""az"")"),"B sözönü :: İsim - qadın cinsi tək quruluşu :: üçüncü şəxs kişi cinsi tək")</f>
        <v>B sözönü :: İsim - qadın cinsi tək quruluşu :: üçüncü şəxs kişi cinsi tək</v>
      </c>
      <c r="K44" s="5" t="str">
        <f>IFERROR(__xludf.DUMMYFUNCTION("GOOGLETRANSLATE(H44,""en"",""az"")"),"özünə bənzər şəkildə")</f>
        <v>özünə bənzər şəkildə</v>
      </c>
    </row>
    <row r="45">
      <c r="A45" s="1" t="s">
        <v>9</v>
      </c>
      <c r="B45" s="1">
        <v>5.0</v>
      </c>
      <c r="C45" s="1">
        <v>4.0</v>
      </c>
      <c r="D45" s="1">
        <v>8.0</v>
      </c>
      <c r="E45" s="2" t="s">
        <v>121</v>
      </c>
      <c r="F45" s="3" t="s">
        <v>122</v>
      </c>
      <c r="G45" s="4">
        <v>6754.0</v>
      </c>
      <c r="H45" s="3" t="s">
        <v>123</v>
      </c>
      <c r="I45" s="3" t="s">
        <v>124</v>
      </c>
      <c r="J45" s="5" t="str">
        <f>IFERROR(__xludf.DUMMYFUNCTION("GOOGLETRANSLATE(I45,""en"",""az"")"),"Söz qoşması-k :: İsim - kişi cinsi tək quruluşu :: üçüncü şəxs kişi cinsi tək")</f>
        <v>Söz qoşması-k :: İsim - kişi cinsi tək quruluşu :: üçüncü şəxs kişi cinsi tək</v>
      </c>
      <c r="K45" s="5" t="str">
        <f>IFERROR(__xludf.DUMMYFUNCTION("GOOGLETRANSLATE(H45,""en"",""az"")"),"onun obrazından sonra")</f>
        <v>onun obrazından sonra</v>
      </c>
    </row>
    <row r="46">
      <c r="A46" s="1" t="s">
        <v>9</v>
      </c>
      <c r="B46" s="1">
        <v>5.0</v>
      </c>
      <c r="C46" s="1">
        <v>4.0</v>
      </c>
      <c r="D46" s="1">
        <v>9.0</v>
      </c>
      <c r="E46" s="2" t="s">
        <v>125</v>
      </c>
      <c r="F46" s="3" t="s">
        <v>76</v>
      </c>
      <c r="G46" s="4">
        <v>7121.0</v>
      </c>
      <c r="H46" s="3" t="s">
        <v>126</v>
      </c>
      <c r="I46" s="3" t="s">
        <v>78</v>
      </c>
      <c r="J46" s="5" t="str">
        <f>IFERROR(__xludf.DUMMYFUNCTION("GOOGLETRANSLATE(I46,""en"",""az"")"),"Bağlayıcı waw :: Feil - Qal - Ardıcıl natamam - üçüncü şəxs kişi halında tək")</f>
        <v>Bağlayıcı waw :: Feil - Qal - Ardıcıl natamam - üçüncü şəxs kişi halında tək</v>
      </c>
      <c r="K46" s="5" t="str">
        <f>IFERROR(__xludf.DUMMYFUNCTION("GOOGLETRANSLATE(H46,""en"",""az"")"),"və o, zəng etdi")</f>
        <v>və o, zəng etdi</v>
      </c>
    </row>
    <row r="47">
      <c r="A47" s="1" t="s">
        <v>9</v>
      </c>
      <c r="B47" s="1">
        <v>5.0</v>
      </c>
      <c r="C47" s="1">
        <v>4.0</v>
      </c>
      <c r="D47" s="1">
        <v>10.0</v>
      </c>
      <c r="E47" s="2" t="s">
        <v>79</v>
      </c>
      <c r="F47" s="3" t="s">
        <v>80</v>
      </c>
      <c r="G47" s="4">
        <v>853.0</v>
      </c>
      <c r="H47" s="3" t="s">
        <v>81</v>
      </c>
      <c r="I47" s="3" t="s">
        <v>82</v>
      </c>
      <c r="J47" s="5" t="str">
        <f>IFERROR(__xludf.DUMMYFUNCTION("GOOGLETRANSLATE(I47,""en"",""az"")"),"Birbaşa obyekt marker")</f>
        <v>Birbaşa obyekt marker</v>
      </c>
      <c r="K47" s="5" t="str">
        <f>IFERROR(__xludf.DUMMYFUNCTION("GOOGLETRANSLATE(H47,""en"",""az"")"),"-")</f>
        <v>-</v>
      </c>
    </row>
    <row r="48">
      <c r="A48" s="1" t="s">
        <v>9</v>
      </c>
      <c r="B48" s="1">
        <v>5.0</v>
      </c>
      <c r="C48" s="1">
        <v>4.0</v>
      </c>
      <c r="D48" s="1">
        <v>11.0</v>
      </c>
      <c r="E48" s="2" t="s">
        <v>127</v>
      </c>
      <c r="F48" s="3" t="s">
        <v>128</v>
      </c>
      <c r="G48" s="4">
        <v>8034.0</v>
      </c>
      <c r="H48" s="3" t="s">
        <v>129</v>
      </c>
      <c r="I48" s="3" t="s">
        <v>130</v>
      </c>
      <c r="J48" s="5" t="str">
        <f>IFERROR(__xludf.DUMMYFUNCTION("GOOGLETRANSLATE(I48,""en"",""az"")"),"İsim - kişi cinsi tək quruluşu :: üçüncü şəxs kişi cinsi tək")</f>
        <v>İsim - kişi cinsi tək quruluşu :: üçüncü şəxs kişi cinsi tək</v>
      </c>
      <c r="K48" s="5" t="str">
        <f>IFERROR(__xludf.DUMMYFUNCTION("GOOGLETRANSLATE(H48,""en"",""az"")"),"onun adı")</f>
        <v>onun adı</v>
      </c>
    </row>
    <row r="49">
      <c r="A49" s="1" t="s">
        <v>9</v>
      </c>
      <c r="B49" s="1">
        <v>5.0</v>
      </c>
      <c r="C49" s="1">
        <v>4.0</v>
      </c>
      <c r="D49" s="1">
        <v>12.0</v>
      </c>
      <c r="E49" s="2" t="s">
        <v>131</v>
      </c>
      <c r="F49" s="3" t="s">
        <v>132</v>
      </c>
      <c r="G49" s="4">
        <v>8352.0</v>
      </c>
      <c r="H49" s="3" t="s">
        <v>133</v>
      </c>
      <c r="I49" s="3" t="s">
        <v>25</v>
      </c>
      <c r="J49" s="5" t="str">
        <f>IFERROR(__xludf.DUMMYFUNCTION("GOOGLETRANSLATE(I49,""en"",""az"")"),"İsim - xüsusi - kişi cinsində tək")</f>
        <v>İsim - xüsusi - kişi cinsində tək</v>
      </c>
      <c r="K49" s="5" t="str">
        <f>IFERROR(__xludf.DUMMYFUNCTION("GOOGLETRANSLATE(H49,""en"",""az"")"),"Set")</f>
        <v>Set</v>
      </c>
    </row>
    <row r="50">
      <c r="A50" s="1" t="s">
        <v>9</v>
      </c>
      <c r="B50" s="1">
        <v>5.0</v>
      </c>
      <c r="C50" s="1">
        <v>5.0</v>
      </c>
      <c r="D50" s="1">
        <v>1.0</v>
      </c>
      <c r="E50" s="2" t="s">
        <v>134</v>
      </c>
      <c r="F50" s="3" t="s">
        <v>135</v>
      </c>
      <c r="G50" s="4">
        <v>1961.0</v>
      </c>
      <c r="H50" s="3" t="s">
        <v>136</v>
      </c>
      <c r="I50" s="3" t="s">
        <v>137</v>
      </c>
      <c r="J50" s="5" t="str">
        <f>IFERROR(__xludf.DUMMYFUNCTION("GOOGLETRANSLATE(I50,""en"",""az"")"),"Bağlayıcı waw :: Feil - Qal - Ardıcıl natamam - üçüncü şəxs kişi formasında cəm")</f>
        <v>Bağlayıcı waw :: Feil - Qal - Ardıcıl natamam - üçüncü şəxs kişi formasında cəm</v>
      </c>
      <c r="K50" s="5" t="str">
        <f>IFERROR(__xludf.DUMMYFUNCTION("GOOGLETRANSLATE(H50,""en"",""az"")"),"Elə idilər də")</f>
        <v>Elə idilər də</v>
      </c>
    </row>
    <row r="51">
      <c r="A51" s="1" t="s">
        <v>9</v>
      </c>
      <c r="B51" s="1">
        <v>5.0</v>
      </c>
      <c r="C51" s="1">
        <v>5.0</v>
      </c>
      <c r="D51" s="1">
        <v>2.0</v>
      </c>
      <c r="E51" s="2" t="s">
        <v>138</v>
      </c>
      <c r="F51" s="3" t="s">
        <v>139</v>
      </c>
      <c r="G51" s="4">
        <v>3605.0</v>
      </c>
      <c r="H51" s="3" t="s">
        <v>140</v>
      </c>
      <c r="I51" s="3" t="s">
        <v>17</v>
      </c>
      <c r="J51" s="5" t="str">
        <f>IFERROR(__xludf.DUMMYFUNCTION("GOOGLETRANSLATE(I51,""en"",""az"")"),"İsim - kişi cinsində tək konstruksiya")</f>
        <v>İsim - kişi cinsində tək konstruksiya</v>
      </c>
      <c r="K51" s="5" t="str">
        <f>IFERROR(__xludf.DUMMYFUNCTION("GOOGLETRANSLATE(H51,""en"",""az"")"),"hamısı")</f>
        <v>hamısı</v>
      </c>
    </row>
    <row r="52">
      <c r="A52" s="1" t="s">
        <v>9</v>
      </c>
      <c r="B52" s="1">
        <v>5.0</v>
      </c>
      <c r="C52" s="1">
        <v>5.0</v>
      </c>
      <c r="D52" s="1">
        <v>3.0</v>
      </c>
      <c r="E52" s="2" t="s">
        <v>141</v>
      </c>
      <c r="F52" s="3" t="s">
        <v>142</v>
      </c>
      <c r="G52" s="4">
        <v>3117.0</v>
      </c>
      <c r="H52" s="3" t="s">
        <v>143</v>
      </c>
      <c r="I52" s="3" t="s">
        <v>144</v>
      </c>
      <c r="J52" s="5" t="str">
        <f>IFERROR(__xludf.DUMMYFUNCTION("GOOGLETRANSLATE(I52,""en"",""az"")"),"İsim - kişi cəm forması")</f>
        <v>İsim - kişi cəm forması</v>
      </c>
      <c r="K52" s="5" t="str">
        <f>IFERROR(__xludf.DUMMYFUNCTION("GOOGLETRANSLATE(H52,""en"",""az"")"),"günlər")</f>
        <v>günlər</v>
      </c>
    </row>
    <row r="53">
      <c r="A53" s="1" t="s">
        <v>9</v>
      </c>
      <c r="B53" s="1">
        <v>5.0</v>
      </c>
      <c r="C53" s="1">
        <v>5.0</v>
      </c>
      <c r="D53" s="1">
        <v>4.0</v>
      </c>
      <c r="E53" s="2" t="s">
        <v>145</v>
      </c>
      <c r="F53" s="3" t="s">
        <v>146</v>
      </c>
      <c r="G53" s="4">
        <v>121.0</v>
      </c>
      <c r="H53" s="3" t="s">
        <v>100</v>
      </c>
      <c r="I53" s="3" t="s">
        <v>25</v>
      </c>
      <c r="J53" s="5" t="str">
        <f>IFERROR(__xludf.DUMMYFUNCTION("GOOGLETRANSLATE(I53,""en"",""az"")"),"İsim - xüsusi - kişi cinsində tək")</f>
        <v>İsim - xüsusi - kişi cinsində tək</v>
      </c>
      <c r="K53" s="5" t="str">
        <f>IFERROR(__xludf.DUMMYFUNCTION("GOOGLETRANSLATE(H53,""en"",""az"")"),"Adəm")</f>
        <v>Adəm</v>
      </c>
    </row>
    <row r="54">
      <c r="A54" s="1" t="s">
        <v>9</v>
      </c>
      <c r="B54" s="1">
        <v>5.0</v>
      </c>
      <c r="C54" s="1">
        <v>5.0</v>
      </c>
      <c r="D54" s="1">
        <v>5.0</v>
      </c>
      <c r="E54" s="2" t="s">
        <v>147</v>
      </c>
      <c r="F54" s="3" t="s">
        <v>148</v>
      </c>
      <c r="G54" s="4">
        <v>834.0</v>
      </c>
      <c r="H54" s="3" t="s">
        <v>149</v>
      </c>
      <c r="I54" s="3" t="s">
        <v>150</v>
      </c>
      <c r="J54" s="5" t="str">
        <f>IFERROR(__xludf.DUMMYFUNCTION("GOOGLETRANSLATE(I54,""en"",""az"")"),"Əvəzlik - nisbi")</f>
        <v>Əvəzlik - nisbi</v>
      </c>
      <c r="K54" s="5" t="str">
        <f>IFERROR(__xludf.DUMMYFUNCTION("GOOGLETRANSLATE(H54,""en"",""az"")"),"o")</f>
        <v>o</v>
      </c>
    </row>
    <row r="55">
      <c r="A55" s="1" t="s">
        <v>9</v>
      </c>
      <c r="B55" s="1">
        <v>5.0</v>
      </c>
      <c r="C55" s="1">
        <v>5.0</v>
      </c>
      <c r="D55" s="1">
        <v>6.0</v>
      </c>
      <c r="E55" s="2" t="s">
        <v>151</v>
      </c>
      <c r="F55" s="3" t="s">
        <v>152</v>
      </c>
      <c r="G55" s="4">
        <v>2416.0</v>
      </c>
      <c r="H55" s="3" t="s">
        <v>153</v>
      </c>
      <c r="I55" s="3" t="s">
        <v>51</v>
      </c>
      <c r="J55" s="5" t="str">
        <f>IFERROR(__xludf.DUMMYFUNCTION("GOOGLETRANSLATE(I55,""en"",""az"")"),"Fe'l - Qal - Perfect - üçüncü şəxs kişi formasında tək")</f>
        <v>Fe'l - Qal - Perfect - üçüncü şəxs kişi formasında tək</v>
      </c>
      <c r="K55" s="5" t="str">
        <f>IFERROR(__xludf.DUMMYFUNCTION("GOOGLETRANSLATE(H55,""en"",""az"")"),"yaşadı")</f>
        <v>yaşadı</v>
      </c>
    </row>
    <row r="56">
      <c r="A56" s="1" t="s">
        <v>9</v>
      </c>
      <c r="B56" s="1">
        <v>5.0</v>
      </c>
      <c r="C56" s="1">
        <v>5.0</v>
      </c>
      <c r="D56" s="1">
        <v>7.0</v>
      </c>
      <c r="E56" s="2" t="s">
        <v>154</v>
      </c>
      <c r="F56" s="3" t="s">
        <v>155</v>
      </c>
      <c r="G56" s="4">
        <v>8672.0</v>
      </c>
      <c r="H56" s="3" t="s">
        <v>156</v>
      </c>
      <c r="I56" s="3" t="s">
        <v>157</v>
      </c>
      <c r="J56" s="5" t="str">
        <f>IFERROR(__xludf.DUMMYFUNCTION("GOOGLETRANSLATE(I56,""en"",""az"")"),"Say - qadın tək quruluşu")</f>
        <v>Say - qadın tək quruluşu</v>
      </c>
      <c r="K56" s="5" t="str">
        <f>IFERROR(__xludf.DUMMYFUNCTION("GOOGLETRANSLATE(H56,""en"",""az"")"),"doqquz")</f>
        <v>doqquz</v>
      </c>
    </row>
    <row r="57">
      <c r="A57" s="1" t="s">
        <v>9</v>
      </c>
      <c r="B57" s="1">
        <v>5.0</v>
      </c>
      <c r="C57" s="1">
        <v>5.0</v>
      </c>
      <c r="D57" s="1">
        <v>8.0</v>
      </c>
      <c r="E57" s="2" t="s">
        <v>158</v>
      </c>
      <c r="F57" s="3" t="s">
        <v>159</v>
      </c>
      <c r="G57" s="4">
        <v>3967.0</v>
      </c>
      <c r="H57" s="3" t="s">
        <v>160</v>
      </c>
      <c r="I57" s="3" t="s">
        <v>161</v>
      </c>
      <c r="J57" s="5" t="str">
        <f>IFERROR(__xludf.DUMMYFUNCTION("GOOGLETRANSLATE(I57,""en"",""az"")"),"Say - qadın cəm")</f>
        <v>Say - qadın cəm</v>
      </c>
      <c r="K57" s="5" t="str">
        <f>IFERROR(__xludf.DUMMYFUNCTION("GOOGLETRANSLATE(H57,""en"",""az"")"),"yüz")</f>
        <v>yüz</v>
      </c>
    </row>
    <row r="58">
      <c r="A58" s="1" t="s">
        <v>9</v>
      </c>
      <c r="B58" s="1">
        <v>5.0</v>
      </c>
      <c r="C58" s="1">
        <v>5.0</v>
      </c>
      <c r="D58" s="1">
        <v>9.0</v>
      </c>
      <c r="E58" s="2" t="s">
        <v>109</v>
      </c>
      <c r="F58" s="3" t="s">
        <v>110</v>
      </c>
      <c r="G58" s="4">
        <v>8141.0</v>
      </c>
      <c r="H58" s="3" t="s">
        <v>111</v>
      </c>
      <c r="I58" s="3" t="s">
        <v>112</v>
      </c>
      <c r="J58" s="5" t="str">
        <f>IFERROR(__xludf.DUMMYFUNCTION("GOOGLETRANSLATE(I58,""en"",""az"")"),"İsim - qadın cinsi tək")</f>
        <v>İsim - qadın cinsi tək</v>
      </c>
      <c r="K58" s="5" t="str">
        <f>IFERROR(__xludf.DUMMYFUNCTION("GOOGLETRANSLATE(H58,""en"",""az"")"),"illər")</f>
        <v>illər</v>
      </c>
    </row>
    <row r="59">
      <c r="A59" s="1" t="s">
        <v>9</v>
      </c>
      <c r="B59" s="1">
        <v>5.0</v>
      </c>
      <c r="C59" s="1">
        <v>5.0</v>
      </c>
      <c r="D59" s="1">
        <v>10.0</v>
      </c>
      <c r="E59" s="2" t="s">
        <v>162</v>
      </c>
      <c r="F59" s="3" t="s">
        <v>163</v>
      </c>
      <c r="G59" s="4">
        <v>7970.0</v>
      </c>
      <c r="H59" s="3" t="s">
        <v>164</v>
      </c>
      <c r="I59" s="3" t="s">
        <v>165</v>
      </c>
      <c r="J59" s="5" t="str">
        <f>IFERROR(__xludf.DUMMYFUNCTION("GOOGLETRANSLATE(I59,""en"",""az"")"),"Bağlayıcı waw :: Say - ümumi cəm")</f>
        <v>Bağlayıcı waw :: Say - ümumi cəm</v>
      </c>
      <c r="K59" s="5" t="str">
        <f>IFERROR(__xludf.DUMMYFUNCTION("GOOGLETRANSLATE(H59,""en"",""az"")"),"və otuz")</f>
        <v>və otuz</v>
      </c>
    </row>
    <row r="60">
      <c r="A60" s="1" t="s">
        <v>9</v>
      </c>
      <c r="B60" s="1">
        <v>5.0</v>
      </c>
      <c r="C60" s="1">
        <v>5.0</v>
      </c>
      <c r="D60" s="1">
        <v>11.0</v>
      </c>
      <c r="E60" s="2" t="s">
        <v>166</v>
      </c>
      <c r="F60" s="3" t="s">
        <v>167</v>
      </c>
      <c r="G60" s="4">
        <v>8141.0</v>
      </c>
      <c r="H60" s="3" t="s">
        <v>111</v>
      </c>
      <c r="I60" s="3" t="s">
        <v>112</v>
      </c>
      <c r="J60" s="5" t="str">
        <f>IFERROR(__xludf.DUMMYFUNCTION("GOOGLETRANSLATE(I60,""en"",""az"")"),"İsim - qadın cinsi tək")</f>
        <v>İsim - qadın cinsi tək</v>
      </c>
      <c r="K60" s="5" t="str">
        <f>IFERROR(__xludf.DUMMYFUNCTION("GOOGLETRANSLATE(H60,""en"",""az"")"),"illər")</f>
        <v>illər</v>
      </c>
    </row>
    <row r="61">
      <c r="A61" s="1" t="s">
        <v>9</v>
      </c>
      <c r="B61" s="1">
        <v>5.0</v>
      </c>
      <c r="C61" s="1">
        <v>5.0</v>
      </c>
      <c r="D61" s="1">
        <v>12.0</v>
      </c>
      <c r="E61" s="2" t="s">
        <v>168</v>
      </c>
      <c r="F61" s="3" t="s">
        <v>169</v>
      </c>
      <c r="G61" s="4">
        <v>4191.0</v>
      </c>
      <c r="H61" s="3" t="s">
        <v>170</v>
      </c>
      <c r="I61" s="3" t="s">
        <v>78</v>
      </c>
      <c r="J61" s="5" t="str">
        <f>IFERROR(__xludf.DUMMYFUNCTION("GOOGLETRANSLATE(I61,""en"",""az"")"),"Bağlayıcı waw :: Feil - Qal - Ardıcıl natamam - üçüncü şəxs kişi halında tək")</f>
        <v>Bağlayıcı waw :: Feil - Qal - Ardıcıl natamam - üçüncü şəxs kişi halında tək</v>
      </c>
      <c r="K61" s="5" t="str">
        <f>IFERROR(__xludf.DUMMYFUNCTION("GOOGLETRANSLATE(H61,""en"",""az"")"),"və o öldü")</f>
        <v>və o öldü</v>
      </c>
    </row>
    <row r="62">
      <c r="A62" s="1" t="s">
        <v>9</v>
      </c>
      <c r="B62" s="1">
        <v>5.0</v>
      </c>
      <c r="C62" s="1">
        <v>5.0</v>
      </c>
      <c r="D62" s="1">
        <v>13.0</v>
      </c>
      <c r="E62" s="2" t="s">
        <v>93</v>
      </c>
      <c r="F62" s="3" t="s">
        <v>94</v>
      </c>
      <c r="G62" s="6"/>
      <c r="H62" s="3" t="s">
        <v>81</v>
      </c>
      <c r="I62" s="3" t="s">
        <v>95</v>
      </c>
      <c r="J62" s="5" t="str">
        <f>IFERROR(__xludf.DUMMYFUNCTION("GOOGLETRANSLATE(I62,""en"",""az"")"),"Durğu işarələri")</f>
        <v>Durğu işarələri</v>
      </c>
      <c r="K62" s="5" t="str">
        <f>IFERROR(__xludf.DUMMYFUNCTION("GOOGLETRANSLATE(H62,""en"",""az"")"),"-")</f>
        <v>-</v>
      </c>
    </row>
    <row r="63">
      <c r="A63" s="1" t="s">
        <v>9</v>
      </c>
      <c r="B63" s="1">
        <v>5.0</v>
      </c>
      <c r="C63" s="1">
        <v>6.0</v>
      </c>
      <c r="D63" s="1">
        <v>1.0</v>
      </c>
      <c r="E63" s="2" t="s">
        <v>171</v>
      </c>
      <c r="F63" s="3" t="s">
        <v>172</v>
      </c>
      <c r="G63" s="4">
        <v>2421.0</v>
      </c>
      <c r="H63" s="3" t="s">
        <v>98</v>
      </c>
      <c r="I63" s="3" t="s">
        <v>78</v>
      </c>
      <c r="J63" s="5" t="str">
        <f>IFERROR(__xludf.DUMMYFUNCTION("GOOGLETRANSLATE(I63,""en"",""az"")"),"Bağlayıcı waw :: Feil - Qal - Ardıcıl natamam - üçüncü şəxs kişi halında tək")</f>
        <v>Bağlayıcı waw :: Feil - Qal - Ardıcıl natamam - üçüncü şəxs kişi halında tək</v>
      </c>
      <c r="K63" s="5" t="str">
        <f>IFERROR(__xludf.DUMMYFUNCTION("GOOGLETRANSLATE(H63,""en"",""az"")"),"Və yaşadı")</f>
        <v>Və yaşadı</v>
      </c>
    </row>
    <row r="64">
      <c r="A64" s="1" t="s">
        <v>9</v>
      </c>
      <c r="B64" s="1">
        <v>5.0</v>
      </c>
      <c r="C64" s="1">
        <v>6.0</v>
      </c>
      <c r="D64" s="1">
        <v>2.0</v>
      </c>
      <c r="E64" s="2" t="s">
        <v>173</v>
      </c>
      <c r="F64" s="3" t="s">
        <v>174</v>
      </c>
      <c r="G64" s="4">
        <v>8352.0</v>
      </c>
      <c r="H64" s="3" t="s">
        <v>133</v>
      </c>
      <c r="I64" s="3" t="s">
        <v>25</v>
      </c>
      <c r="J64" s="5" t="str">
        <f>IFERROR(__xludf.DUMMYFUNCTION("GOOGLETRANSLATE(I64,""en"",""az"")"),"İsim - xüsusi - kişi cinsində tək")</f>
        <v>İsim - xüsusi - kişi cinsində tək</v>
      </c>
      <c r="K64" s="5" t="str">
        <f>IFERROR(__xludf.DUMMYFUNCTION("GOOGLETRANSLATE(H64,""en"",""az"")"),"Set")</f>
        <v>Set</v>
      </c>
    </row>
    <row r="65">
      <c r="A65" s="1" t="s">
        <v>9</v>
      </c>
      <c r="B65" s="1">
        <v>5.0</v>
      </c>
      <c r="C65" s="1">
        <v>6.0</v>
      </c>
      <c r="D65" s="1">
        <v>3.0</v>
      </c>
      <c r="E65" s="2" t="s">
        <v>175</v>
      </c>
      <c r="F65" s="3" t="s">
        <v>176</v>
      </c>
      <c r="G65" s="4">
        <v>2568.0</v>
      </c>
      <c r="H65" s="3" t="s">
        <v>177</v>
      </c>
      <c r="I65" s="3" t="s">
        <v>178</v>
      </c>
      <c r="J65" s="5" t="str">
        <f>IFERROR(__xludf.DUMMYFUNCTION("GOOGLETRANSLATE(I65,""en"",""az"")"),"Say - qadın tək")</f>
        <v>Say - qadın tək</v>
      </c>
      <c r="K65" s="5" t="str">
        <f>IFERROR(__xludf.DUMMYFUNCTION("GOOGLETRANSLATE(H65,""en"",""az"")"),"beş")</f>
        <v>beş</v>
      </c>
    </row>
    <row r="66">
      <c r="A66" s="1" t="s">
        <v>9</v>
      </c>
      <c r="B66" s="1">
        <v>5.0</v>
      </c>
      <c r="C66" s="1">
        <v>6.0</v>
      </c>
      <c r="D66" s="1">
        <v>4.0</v>
      </c>
      <c r="E66" s="2" t="s">
        <v>179</v>
      </c>
      <c r="F66" s="3" t="s">
        <v>180</v>
      </c>
      <c r="G66" s="4">
        <v>8141.0</v>
      </c>
      <c r="H66" s="3" t="s">
        <v>111</v>
      </c>
      <c r="I66" s="3" t="s">
        <v>181</v>
      </c>
      <c r="J66" s="5" t="str">
        <f>IFERROR(__xludf.DUMMYFUNCTION("GOOGLETRANSLATE(I66,""en"",""az"")"),"İsim - qadın cəm")</f>
        <v>İsim - qadın cəm</v>
      </c>
      <c r="K66" s="5" t="str">
        <f>IFERROR(__xludf.DUMMYFUNCTION("GOOGLETRANSLATE(H66,""en"",""az"")"),"illər")</f>
        <v>illər</v>
      </c>
    </row>
    <row r="67">
      <c r="A67" s="1" t="s">
        <v>9</v>
      </c>
      <c r="B67" s="1">
        <v>5.0</v>
      </c>
      <c r="C67" s="1">
        <v>6.0</v>
      </c>
      <c r="D67" s="1">
        <v>5.0</v>
      </c>
      <c r="E67" s="2" t="s">
        <v>182</v>
      </c>
      <c r="F67" s="3" t="s">
        <v>106</v>
      </c>
      <c r="G67" s="4">
        <v>3967.0</v>
      </c>
      <c r="H67" s="3" t="s">
        <v>107</v>
      </c>
      <c r="I67" s="3" t="s">
        <v>108</v>
      </c>
      <c r="J67" s="5" t="str">
        <f>IFERROR(__xludf.DUMMYFUNCTION("GOOGLETRANSLATE(I67,""en"",""az"")"),"Konyunktiv waw :: Say - qadınlıq tək konstruksiyası")</f>
        <v>Konyunktiv waw :: Say - qadınlıq tək konstruksiyası</v>
      </c>
      <c r="K67" s="5" t="str">
        <f>IFERROR(__xludf.DUMMYFUNCTION("GOOGLETRANSLATE(H67,""en"",""az"")"),"və yüz")</f>
        <v>və yüz</v>
      </c>
    </row>
    <row r="68">
      <c r="A68" s="1" t="s">
        <v>9</v>
      </c>
      <c r="B68" s="1">
        <v>5.0</v>
      </c>
      <c r="C68" s="1">
        <v>6.0</v>
      </c>
      <c r="D68" s="1">
        <v>6.0</v>
      </c>
      <c r="E68" s="2" t="s">
        <v>166</v>
      </c>
      <c r="F68" s="3" t="s">
        <v>167</v>
      </c>
      <c r="G68" s="4">
        <v>8141.0</v>
      </c>
      <c r="H68" s="3" t="s">
        <v>111</v>
      </c>
      <c r="I68" s="3" t="s">
        <v>112</v>
      </c>
      <c r="J68" s="5" t="str">
        <f>IFERROR(__xludf.DUMMYFUNCTION("GOOGLETRANSLATE(I68,""en"",""az"")"),"İsim - qadın cinsi tək")</f>
        <v>İsim - qadın cinsi tək</v>
      </c>
      <c r="K68" s="5" t="str">
        <f>IFERROR(__xludf.DUMMYFUNCTION("GOOGLETRANSLATE(H68,""en"",""az"")"),"illər")</f>
        <v>illər</v>
      </c>
    </row>
    <row r="69">
      <c r="A69" s="1" t="s">
        <v>9</v>
      </c>
      <c r="B69" s="1">
        <v>5.0</v>
      </c>
      <c r="C69" s="1">
        <v>6.0</v>
      </c>
      <c r="D69" s="1">
        <v>7.0</v>
      </c>
      <c r="E69" s="2" t="s">
        <v>183</v>
      </c>
      <c r="F69" s="3" t="s">
        <v>114</v>
      </c>
      <c r="G69" s="4">
        <v>3205.0</v>
      </c>
      <c r="H69" s="3" t="s">
        <v>184</v>
      </c>
      <c r="I69" s="3" t="s">
        <v>116</v>
      </c>
      <c r="J69" s="5" t="str">
        <f>IFERROR(__xludf.DUMMYFUNCTION("GOOGLETRANSLATE(I69,""en"",""az"")"),"Bağlayıcı waw :: Fe'l - Hifil - Ardıcıl natamam - üçüncü şəxs kişi formasında tək")</f>
        <v>Bağlayıcı waw :: Fe'l - Hifil - Ardıcıl natamam - üçüncü şəxs kişi formasında tək</v>
      </c>
      <c r="K69" s="5" t="str">
        <f>IFERROR(__xludf.DUMMYFUNCTION("GOOGLETRANSLATE(H69,""en"",""az"")"),"və o, doğdu")</f>
        <v>və o, doğdu</v>
      </c>
    </row>
    <row r="70">
      <c r="A70" s="1" t="s">
        <v>9</v>
      </c>
      <c r="B70" s="1">
        <v>5.0</v>
      </c>
      <c r="C70" s="1">
        <v>6.0</v>
      </c>
      <c r="D70" s="1">
        <v>8.0</v>
      </c>
      <c r="E70" s="2" t="s">
        <v>79</v>
      </c>
      <c r="F70" s="3" t="s">
        <v>80</v>
      </c>
      <c r="G70" s="4">
        <v>853.0</v>
      </c>
      <c r="H70" s="3" t="s">
        <v>81</v>
      </c>
      <c r="I70" s="3" t="s">
        <v>82</v>
      </c>
      <c r="J70" s="5" t="str">
        <f>IFERROR(__xludf.DUMMYFUNCTION("GOOGLETRANSLATE(I70,""en"",""az"")"),"Birbaşa obyekt marker")</f>
        <v>Birbaşa obyekt marker</v>
      </c>
      <c r="K70" s="5" t="str">
        <f>IFERROR(__xludf.DUMMYFUNCTION("GOOGLETRANSLATE(H70,""en"",""az"")"),"-")</f>
        <v>-</v>
      </c>
    </row>
    <row r="71">
      <c r="A71" s="1" t="s">
        <v>9</v>
      </c>
      <c r="B71" s="1">
        <v>5.0</v>
      </c>
      <c r="C71" s="1">
        <v>6.0</v>
      </c>
      <c r="D71" s="1">
        <v>9.0</v>
      </c>
      <c r="E71" s="2" t="s">
        <v>185</v>
      </c>
      <c r="F71" s="3" t="s">
        <v>186</v>
      </c>
      <c r="G71" s="4">
        <v>583.0</v>
      </c>
      <c r="H71" s="3" t="s">
        <v>187</v>
      </c>
      <c r="I71" s="3" t="s">
        <v>25</v>
      </c>
      <c r="J71" s="5" t="str">
        <f>IFERROR(__xludf.DUMMYFUNCTION("GOOGLETRANSLATE(I71,""en"",""az"")"),"İsim - xüsusi - kişi cinsində tək")</f>
        <v>İsim - xüsusi - kişi cinsində tək</v>
      </c>
      <c r="K71" s="5" t="str">
        <f>IFERROR(__xludf.DUMMYFUNCTION("GOOGLETRANSLATE(H71,""en"",""az"")"),"Enoş")</f>
        <v>Enoş</v>
      </c>
    </row>
    <row r="72">
      <c r="A72" s="1" t="s">
        <v>9</v>
      </c>
      <c r="B72" s="1">
        <v>5.0</v>
      </c>
      <c r="C72" s="1">
        <v>7.0</v>
      </c>
      <c r="D72" s="1">
        <v>1.0</v>
      </c>
      <c r="E72" s="2" t="s">
        <v>171</v>
      </c>
      <c r="F72" s="3" t="s">
        <v>172</v>
      </c>
      <c r="G72" s="4">
        <v>2421.0</v>
      </c>
      <c r="H72" s="3" t="s">
        <v>98</v>
      </c>
      <c r="I72" s="3" t="s">
        <v>78</v>
      </c>
      <c r="J72" s="5" t="str">
        <f>IFERROR(__xludf.DUMMYFUNCTION("GOOGLETRANSLATE(I72,""en"",""az"")"),"Bağlayıcı waw :: Feil - Qal - Ardıcıl natamam - üçüncü şəxs kişi halında tək")</f>
        <v>Bağlayıcı waw :: Feil - Qal - Ardıcıl natamam - üçüncü şəxs kişi halında tək</v>
      </c>
      <c r="K72" s="5" t="str">
        <f>IFERROR(__xludf.DUMMYFUNCTION("GOOGLETRANSLATE(H72,""en"",""az"")"),"Və yaşadı")</f>
        <v>Və yaşadı</v>
      </c>
    </row>
    <row r="73">
      <c r="A73" s="1" t="s">
        <v>9</v>
      </c>
      <c r="B73" s="1">
        <v>5.0</v>
      </c>
      <c r="C73" s="1">
        <v>7.0</v>
      </c>
      <c r="D73" s="1">
        <v>2.0</v>
      </c>
      <c r="E73" s="2" t="s">
        <v>188</v>
      </c>
      <c r="F73" s="3" t="s">
        <v>189</v>
      </c>
      <c r="G73" s="4">
        <v>8352.0</v>
      </c>
      <c r="H73" s="3" t="s">
        <v>133</v>
      </c>
      <c r="I73" s="3" t="s">
        <v>25</v>
      </c>
      <c r="J73" s="5" t="str">
        <f>IFERROR(__xludf.DUMMYFUNCTION("GOOGLETRANSLATE(I73,""en"",""az"")"),"İsim - xüsusi - kişi cinsində tək")</f>
        <v>İsim - xüsusi - kişi cinsində tək</v>
      </c>
      <c r="K73" s="5" t="str">
        <f>IFERROR(__xludf.DUMMYFUNCTION("GOOGLETRANSLATE(H73,""en"",""az"")"),"Set")</f>
        <v>Set</v>
      </c>
    </row>
    <row r="74">
      <c r="A74" s="1" t="s">
        <v>9</v>
      </c>
      <c r="B74" s="1">
        <v>5.0</v>
      </c>
      <c r="C74" s="1">
        <v>7.0</v>
      </c>
      <c r="D74" s="1">
        <v>3.0</v>
      </c>
      <c r="E74" s="2" t="s">
        <v>190</v>
      </c>
      <c r="F74" s="3" t="s">
        <v>191</v>
      </c>
      <c r="G74" s="4">
        <v>310.0</v>
      </c>
      <c r="H74" s="3" t="s">
        <v>192</v>
      </c>
      <c r="I74" s="3" t="s">
        <v>193</v>
      </c>
      <c r="J74" s="5" t="str">
        <f>IFERROR(__xludf.DUMMYFUNCTION("GOOGLETRANSLATE(I74,""en"",""az"")"),"Sözönü")</f>
        <v>Sözönü</v>
      </c>
      <c r="K74" s="5" t="str">
        <f>IFERROR(__xludf.DUMMYFUNCTION("GOOGLETRANSLATE(H74,""en"",""az"")"),"sonra")</f>
        <v>sonra</v>
      </c>
    </row>
    <row r="75">
      <c r="A75" s="1" t="s">
        <v>9</v>
      </c>
      <c r="B75" s="1">
        <v>5.0</v>
      </c>
      <c r="C75" s="1">
        <v>7.0</v>
      </c>
      <c r="D75" s="1">
        <v>4.0</v>
      </c>
      <c r="E75" s="2" t="s">
        <v>194</v>
      </c>
      <c r="F75" s="3" t="s">
        <v>195</v>
      </c>
      <c r="G75" s="4">
        <v>3205.0</v>
      </c>
      <c r="H75" s="3" t="s">
        <v>196</v>
      </c>
      <c r="I75" s="3" t="s">
        <v>197</v>
      </c>
      <c r="J75" s="5" t="str">
        <f>IFERROR(__xludf.DUMMYFUNCTION("GOOGLETRANSLATE(I75,""en"",""az"")"),"Fe'l - Hifil - Məsdər konstruksiyası :: üçüncü şəxs kişi formasında tək")</f>
        <v>Fe'l - Hifil - Məsdər konstruksiyası :: üçüncü şəxs kişi formasında tək</v>
      </c>
      <c r="K75" s="5" t="str">
        <f>IFERROR(__xludf.DUMMYFUNCTION("GOOGLETRANSLATE(H75,""en"",""az"")"),"o doğdu")</f>
        <v>o doğdu</v>
      </c>
    </row>
    <row r="76">
      <c r="A76" s="1" t="s">
        <v>9</v>
      </c>
      <c r="B76" s="1">
        <v>5.0</v>
      </c>
      <c r="C76" s="1">
        <v>7.0</v>
      </c>
      <c r="D76" s="1">
        <v>5.0</v>
      </c>
      <c r="E76" s="2" t="s">
        <v>79</v>
      </c>
      <c r="F76" s="3" t="s">
        <v>80</v>
      </c>
      <c r="G76" s="4">
        <v>853.0</v>
      </c>
      <c r="H76" s="3" t="s">
        <v>81</v>
      </c>
      <c r="I76" s="3" t="s">
        <v>82</v>
      </c>
      <c r="J76" s="5" t="str">
        <f>IFERROR(__xludf.DUMMYFUNCTION("GOOGLETRANSLATE(I76,""en"",""az"")"),"Birbaşa obyekt marker")</f>
        <v>Birbaşa obyekt marker</v>
      </c>
      <c r="K76" s="5" t="str">
        <f>IFERROR(__xludf.DUMMYFUNCTION("GOOGLETRANSLATE(H76,""en"",""az"")"),"-")</f>
        <v>-</v>
      </c>
    </row>
    <row r="77">
      <c r="A77" s="1" t="s">
        <v>9</v>
      </c>
      <c r="B77" s="1">
        <v>5.0</v>
      </c>
      <c r="C77" s="1">
        <v>7.0</v>
      </c>
      <c r="D77" s="1">
        <v>6.0</v>
      </c>
      <c r="E77" s="2" t="s">
        <v>198</v>
      </c>
      <c r="F77" s="3" t="s">
        <v>199</v>
      </c>
      <c r="G77" s="4">
        <v>583.0</v>
      </c>
      <c r="H77" s="3" t="s">
        <v>187</v>
      </c>
      <c r="I77" s="3" t="s">
        <v>25</v>
      </c>
      <c r="J77" s="5" t="str">
        <f>IFERROR(__xludf.DUMMYFUNCTION("GOOGLETRANSLATE(I77,""en"",""az"")"),"İsim - xüsusi - kişi cinsində tək")</f>
        <v>İsim - xüsusi - kişi cinsində tək</v>
      </c>
      <c r="K77" s="5" t="str">
        <f>IFERROR(__xludf.DUMMYFUNCTION("GOOGLETRANSLATE(H77,""en"",""az"")"),"Enoş")</f>
        <v>Enoş</v>
      </c>
    </row>
    <row r="78">
      <c r="A78" s="1" t="s">
        <v>9</v>
      </c>
      <c r="B78" s="1">
        <v>5.0</v>
      </c>
      <c r="C78" s="1">
        <v>7.0</v>
      </c>
      <c r="D78" s="1">
        <v>7.0</v>
      </c>
      <c r="E78" s="2" t="s">
        <v>200</v>
      </c>
      <c r="F78" s="3" t="s">
        <v>201</v>
      </c>
      <c r="G78" s="4">
        <v>7651.0</v>
      </c>
      <c r="H78" s="3" t="s">
        <v>202</v>
      </c>
      <c r="I78" s="3" t="s">
        <v>178</v>
      </c>
      <c r="J78" s="5" t="str">
        <f>IFERROR(__xludf.DUMMYFUNCTION("GOOGLETRANSLATE(I78,""en"",""az"")"),"Say - qadın tək")</f>
        <v>Say - qadın tək</v>
      </c>
      <c r="K78" s="5" t="str">
        <f>IFERROR(__xludf.DUMMYFUNCTION("GOOGLETRANSLATE(H78,""en"",""az"")"),"yeddi")</f>
        <v>yeddi</v>
      </c>
    </row>
    <row r="79">
      <c r="A79" s="1" t="s">
        <v>9</v>
      </c>
      <c r="B79" s="1">
        <v>5.0</v>
      </c>
      <c r="C79" s="1">
        <v>7.0</v>
      </c>
      <c r="D79" s="1">
        <v>8.0</v>
      </c>
      <c r="E79" s="2" t="s">
        <v>203</v>
      </c>
      <c r="F79" s="3" t="s">
        <v>204</v>
      </c>
      <c r="G79" s="4">
        <v>8141.0</v>
      </c>
      <c r="H79" s="3" t="s">
        <v>111</v>
      </c>
      <c r="I79" s="3" t="s">
        <v>181</v>
      </c>
      <c r="J79" s="5" t="str">
        <f>IFERROR(__xludf.DUMMYFUNCTION("GOOGLETRANSLATE(I79,""en"",""az"")"),"İsim - qadın cəm")</f>
        <v>İsim - qadın cəm</v>
      </c>
      <c r="K79" s="5" t="str">
        <f>IFERROR(__xludf.DUMMYFUNCTION("GOOGLETRANSLATE(H79,""en"",""az"")"),"illər")</f>
        <v>illər</v>
      </c>
    </row>
    <row r="80">
      <c r="A80" s="1" t="s">
        <v>9</v>
      </c>
      <c r="B80" s="1">
        <v>5.0</v>
      </c>
      <c r="C80" s="1">
        <v>7.0</v>
      </c>
      <c r="D80" s="1">
        <v>9.0</v>
      </c>
      <c r="E80" s="2" t="s">
        <v>205</v>
      </c>
      <c r="F80" s="3" t="s">
        <v>206</v>
      </c>
      <c r="G80" s="4">
        <v>8083.0</v>
      </c>
      <c r="H80" s="3" t="s">
        <v>207</v>
      </c>
      <c r="I80" s="3" t="s">
        <v>208</v>
      </c>
      <c r="J80" s="5" t="str">
        <f>IFERROR(__xludf.DUMMYFUNCTION("GOOGLETRANSLATE(I80,""en"",""az"")"),"Bağlayıcı waw :: Say - qadınlıq tək")</f>
        <v>Bağlayıcı waw :: Say - qadınlıq tək</v>
      </c>
      <c r="K80" s="5" t="str">
        <f>IFERROR(__xludf.DUMMYFUNCTION("GOOGLETRANSLATE(H80,""en"",""az"")"),"və səkkiz")</f>
        <v>və səkkiz</v>
      </c>
    </row>
    <row r="81">
      <c r="A81" s="1" t="s">
        <v>9</v>
      </c>
      <c r="B81" s="1">
        <v>5.0</v>
      </c>
      <c r="C81" s="1">
        <v>7.0</v>
      </c>
      <c r="D81" s="1">
        <v>10.0</v>
      </c>
      <c r="E81" s="2" t="s">
        <v>209</v>
      </c>
      <c r="F81" s="3" t="s">
        <v>159</v>
      </c>
      <c r="G81" s="4">
        <v>3967.0</v>
      </c>
      <c r="H81" s="3" t="s">
        <v>160</v>
      </c>
      <c r="I81" s="3" t="s">
        <v>161</v>
      </c>
      <c r="J81" s="5" t="str">
        <f>IFERROR(__xludf.DUMMYFUNCTION("GOOGLETRANSLATE(I81,""en"",""az"")"),"Say - qadın cəm")</f>
        <v>Say - qadın cəm</v>
      </c>
      <c r="K81" s="5" t="str">
        <f>IFERROR(__xludf.DUMMYFUNCTION("GOOGLETRANSLATE(H81,""en"",""az"")"),"yüz")</f>
        <v>yüz</v>
      </c>
    </row>
    <row r="82">
      <c r="A82" s="1" t="s">
        <v>9</v>
      </c>
      <c r="B82" s="1">
        <v>5.0</v>
      </c>
      <c r="C82" s="1">
        <v>7.0</v>
      </c>
      <c r="D82" s="1">
        <v>11.0</v>
      </c>
      <c r="E82" s="2" t="s">
        <v>166</v>
      </c>
      <c r="F82" s="3" t="s">
        <v>167</v>
      </c>
      <c r="G82" s="4">
        <v>8141.0</v>
      </c>
      <c r="H82" s="3" t="s">
        <v>111</v>
      </c>
      <c r="I82" s="3" t="s">
        <v>112</v>
      </c>
      <c r="J82" s="5" t="str">
        <f>IFERROR(__xludf.DUMMYFUNCTION("GOOGLETRANSLATE(I82,""en"",""az"")"),"İsim - qadın cinsi tək")</f>
        <v>İsim - qadın cinsi tək</v>
      </c>
      <c r="K82" s="5" t="str">
        <f>IFERROR(__xludf.DUMMYFUNCTION("GOOGLETRANSLATE(H82,""en"",""az"")"),"illər")</f>
        <v>illər</v>
      </c>
    </row>
    <row r="83">
      <c r="A83" s="1" t="s">
        <v>9</v>
      </c>
      <c r="B83" s="1">
        <v>5.0</v>
      </c>
      <c r="C83" s="1">
        <v>7.0</v>
      </c>
      <c r="D83" s="1">
        <v>12.0</v>
      </c>
      <c r="E83" s="2" t="s">
        <v>113</v>
      </c>
      <c r="F83" s="3" t="s">
        <v>114</v>
      </c>
      <c r="G83" s="4">
        <v>3205.0</v>
      </c>
      <c r="H83" s="3" t="s">
        <v>184</v>
      </c>
      <c r="I83" s="3" t="s">
        <v>116</v>
      </c>
      <c r="J83" s="5" t="str">
        <f>IFERROR(__xludf.DUMMYFUNCTION("GOOGLETRANSLATE(I83,""en"",""az"")"),"Bağlayıcı waw :: Fe'l - Hifil - Ardıcıl natamam - üçüncü şəxs kişi formasında tək")</f>
        <v>Bağlayıcı waw :: Fe'l - Hifil - Ardıcıl natamam - üçüncü şəxs kişi formasında tək</v>
      </c>
      <c r="K83" s="5" t="str">
        <f>IFERROR(__xludf.DUMMYFUNCTION("GOOGLETRANSLATE(H83,""en"",""az"")"),"və o, doğdu")</f>
        <v>və o, doğdu</v>
      </c>
    </row>
    <row r="84">
      <c r="A84" s="1" t="s">
        <v>9</v>
      </c>
      <c r="B84" s="1">
        <v>5.0</v>
      </c>
      <c r="C84" s="1">
        <v>7.0</v>
      </c>
      <c r="D84" s="1">
        <v>13.0</v>
      </c>
      <c r="E84" s="2" t="s">
        <v>210</v>
      </c>
      <c r="F84" s="3" t="s">
        <v>211</v>
      </c>
      <c r="G84" s="4">
        <v>1121.0</v>
      </c>
      <c r="H84" s="3" t="s">
        <v>212</v>
      </c>
      <c r="I84" s="3" t="s">
        <v>37</v>
      </c>
      <c r="J84" s="5" t="str">
        <f>IFERROR(__xludf.DUMMYFUNCTION("GOOGLETRANSLATE(I84,""en"",""az"")"),"İsim - kişi cəm halı")</f>
        <v>İsim - kişi cəm halı</v>
      </c>
      <c r="K84" s="5" t="str">
        <f>IFERROR(__xludf.DUMMYFUNCTION("GOOGLETRANSLATE(H84,""en"",""az"")"),"oğullar")</f>
        <v>oğullar</v>
      </c>
    </row>
    <row r="85">
      <c r="A85" s="1" t="s">
        <v>9</v>
      </c>
      <c r="B85" s="1">
        <v>5.0</v>
      </c>
      <c r="C85" s="1">
        <v>7.0</v>
      </c>
      <c r="D85" s="1">
        <v>14.0</v>
      </c>
      <c r="E85" s="2" t="s">
        <v>213</v>
      </c>
      <c r="F85" s="3" t="s">
        <v>214</v>
      </c>
      <c r="G85" s="4">
        <v>1323.0</v>
      </c>
      <c r="H85" s="3" t="s">
        <v>215</v>
      </c>
      <c r="I85" s="3" t="s">
        <v>216</v>
      </c>
      <c r="J85" s="5" t="str">
        <f>IFERROR(__xludf.DUMMYFUNCTION("GOOGLETRANSLATE(I85,""en"",""az"")"),"Conjunctive waw :: Noun - qadın cəm")</f>
        <v>Conjunctive waw :: Noun - qadın cəm</v>
      </c>
      <c r="K85" s="5" t="str">
        <f>IFERROR(__xludf.DUMMYFUNCTION("GOOGLETRANSLATE(H85,""en"",""az"")"),"və qızları")</f>
        <v>və qızları</v>
      </c>
    </row>
    <row r="86">
      <c r="A86" s="1" t="s">
        <v>9</v>
      </c>
      <c r="B86" s="1">
        <v>5.0</v>
      </c>
      <c r="C86" s="1">
        <v>8.0</v>
      </c>
      <c r="D86" s="1">
        <v>1.0</v>
      </c>
      <c r="E86" s="2" t="s">
        <v>217</v>
      </c>
      <c r="F86" s="3" t="s">
        <v>135</v>
      </c>
      <c r="G86" s="4">
        <v>1961.0</v>
      </c>
      <c r="H86" s="3" t="s">
        <v>136</v>
      </c>
      <c r="I86" s="3" t="s">
        <v>137</v>
      </c>
      <c r="J86" s="5" t="str">
        <f>IFERROR(__xludf.DUMMYFUNCTION("GOOGLETRANSLATE(I86,""en"",""az"")"),"Bağlayıcı waw :: Feil - Qal - Ardıcıl natamam - üçüncü şəxs kişi formasında cəm")</f>
        <v>Bağlayıcı waw :: Feil - Qal - Ardıcıl natamam - üçüncü şəxs kişi formasında cəm</v>
      </c>
      <c r="K86" s="5" t="str">
        <f>IFERROR(__xludf.DUMMYFUNCTION("GOOGLETRANSLATE(H86,""en"",""az"")"),"Elə idilər də")</f>
        <v>Elə idilər də</v>
      </c>
    </row>
    <row r="87">
      <c r="A87" s="1" t="s">
        <v>9</v>
      </c>
      <c r="B87" s="1">
        <v>5.0</v>
      </c>
      <c r="C87" s="1">
        <v>8.0</v>
      </c>
      <c r="D87" s="1">
        <v>2.0</v>
      </c>
      <c r="E87" s="2" t="s">
        <v>138</v>
      </c>
      <c r="F87" s="3" t="s">
        <v>139</v>
      </c>
      <c r="G87" s="4">
        <v>3605.0</v>
      </c>
      <c r="H87" s="3" t="s">
        <v>140</v>
      </c>
      <c r="I87" s="3" t="s">
        <v>17</v>
      </c>
      <c r="J87" s="5" t="str">
        <f>IFERROR(__xludf.DUMMYFUNCTION("GOOGLETRANSLATE(I87,""en"",""az"")"),"İsim - kişi cinsində tək konstruksiya")</f>
        <v>İsim - kişi cinsində tək konstruksiya</v>
      </c>
      <c r="K87" s="5" t="str">
        <f>IFERROR(__xludf.DUMMYFUNCTION("GOOGLETRANSLATE(H87,""en"",""az"")"),"hamısı")</f>
        <v>hamısı</v>
      </c>
    </row>
    <row r="88">
      <c r="A88" s="1" t="s">
        <v>9</v>
      </c>
      <c r="B88" s="1">
        <v>5.0</v>
      </c>
      <c r="C88" s="1">
        <v>8.0</v>
      </c>
      <c r="D88" s="1">
        <v>3.0</v>
      </c>
      <c r="E88" s="2" t="s">
        <v>218</v>
      </c>
      <c r="F88" s="3" t="s">
        <v>219</v>
      </c>
      <c r="G88" s="4">
        <v>3117.0</v>
      </c>
      <c r="H88" s="3" t="s">
        <v>143</v>
      </c>
      <c r="I88" s="3" t="s">
        <v>144</v>
      </c>
      <c r="J88" s="5" t="str">
        <f>IFERROR(__xludf.DUMMYFUNCTION("GOOGLETRANSLATE(I88,""en"",""az"")"),"İsim - kişi cəm forması")</f>
        <v>İsim - kişi cəm forması</v>
      </c>
      <c r="K88" s="5" t="str">
        <f>IFERROR(__xludf.DUMMYFUNCTION("GOOGLETRANSLATE(H88,""en"",""az"")"),"günlər")</f>
        <v>günlər</v>
      </c>
    </row>
    <row r="89">
      <c r="A89" s="1" t="s">
        <v>9</v>
      </c>
      <c r="B89" s="1">
        <v>5.0</v>
      </c>
      <c r="C89" s="1">
        <v>8.0</v>
      </c>
      <c r="D89" s="1">
        <v>4.0</v>
      </c>
      <c r="E89" s="2" t="s">
        <v>220</v>
      </c>
      <c r="F89" s="3" t="s">
        <v>189</v>
      </c>
      <c r="G89" s="4">
        <v>8352.0</v>
      </c>
      <c r="H89" s="3" t="s">
        <v>221</v>
      </c>
      <c r="I89" s="3" t="s">
        <v>25</v>
      </c>
      <c r="J89" s="5" t="str">
        <f>IFERROR(__xludf.DUMMYFUNCTION("GOOGLETRANSLATE(I89,""en"",""az"")"),"İsim - xüsusi - kişi cinsində tək")</f>
        <v>İsim - xüsusi - kişi cinsində tək</v>
      </c>
      <c r="K89" s="5" t="str">
        <f>IFERROR(__xludf.DUMMYFUNCTION("GOOGLETRANSLATE(H89,""en"",""az"")"),"Setin")</f>
        <v>Setin</v>
      </c>
    </row>
    <row r="90">
      <c r="A90" s="1" t="s">
        <v>9</v>
      </c>
      <c r="B90" s="1">
        <v>5.0</v>
      </c>
      <c r="C90" s="1">
        <v>8.0</v>
      </c>
      <c r="D90" s="1">
        <v>5.0</v>
      </c>
      <c r="E90" s="2" t="s">
        <v>222</v>
      </c>
      <c r="F90" s="3" t="s">
        <v>223</v>
      </c>
      <c r="G90" s="4">
        <v>8147.0</v>
      </c>
      <c r="H90" s="3" t="s">
        <v>224</v>
      </c>
      <c r="I90" s="3" t="s">
        <v>225</v>
      </c>
      <c r="J90" s="5" t="str">
        <f>IFERROR(__xludf.DUMMYFUNCTION("GOOGLETRANSLATE(I90,""en"",""az"")"),"Nömrə - fd")</f>
        <v>Nömrə - fd</v>
      </c>
      <c r="K90" s="5" t="str">
        <f>IFERROR(__xludf.DUMMYFUNCTION("GOOGLETRANSLATE(H90,""en"",""az"")"),"iki")</f>
        <v>iki</v>
      </c>
    </row>
    <row r="91">
      <c r="A91" s="1" t="s">
        <v>9</v>
      </c>
      <c r="B91" s="1">
        <v>5.0</v>
      </c>
      <c r="C91" s="1">
        <v>8.0</v>
      </c>
      <c r="D91" s="1">
        <v>6.0</v>
      </c>
      <c r="E91" s="2" t="s">
        <v>226</v>
      </c>
      <c r="F91" s="3" t="s">
        <v>227</v>
      </c>
      <c r="G91" s="4">
        <v>6240.0</v>
      </c>
      <c r="H91" s="3" t="s">
        <v>228</v>
      </c>
      <c r="I91" s="3" t="s">
        <v>178</v>
      </c>
      <c r="J91" s="5" t="str">
        <f>IFERROR(__xludf.DUMMYFUNCTION("GOOGLETRANSLATE(I91,""en"",""az"")"),"Say - qadın tək")</f>
        <v>Say - qadın tək</v>
      </c>
      <c r="K91" s="5" t="str">
        <f>IFERROR(__xludf.DUMMYFUNCTION("GOOGLETRANSLATE(H91,""en"",""az"")"),"[və] on")</f>
        <v>[və] on</v>
      </c>
    </row>
    <row r="92">
      <c r="A92" s="1" t="s">
        <v>9</v>
      </c>
      <c r="B92" s="1">
        <v>5.0</v>
      </c>
      <c r="C92" s="1">
        <v>8.0</v>
      </c>
      <c r="D92" s="1">
        <v>7.0</v>
      </c>
      <c r="E92" s="2" t="s">
        <v>109</v>
      </c>
      <c r="F92" s="3" t="s">
        <v>110</v>
      </c>
      <c r="G92" s="4">
        <v>8141.0</v>
      </c>
      <c r="H92" s="3" t="s">
        <v>111</v>
      </c>
      <c r="I92" s="3" t="s">
        <v>112</v>
      </c>
      <c r="J92" s="5" t="str">
        <f>IFERROR(__xludf.DUMMYFUNCTION("GOOGLETRANSLATE(I92,""en"",""az"")"),"İsim - qadın cinsi tək")</f>
        <v>İsim - qadın cinsi tək</v>
      </c>
      <c r="K92" s="5" t="str">
        <f>IFERROR(__xludf.DUMMYFUNCTION("GOOGLETRANSLATE(H92,""en"",""az"")"),"illər")</f>
        <v>illər</v>
      </c>
    </row>
    <row r="93">
      <c r="A93" s="1" t="s">
        <v>9</v>
      </c>
      <c r="B93" s="1">
        <v>5.0</v>
      </c>
      <c r="C93" s="1">
        <v>8.0</v>
      </c>
      <c r="D93" s="1">
        <v>8.0</v>
      </c>
      <c r="E93" s="2" t="s">
        <v>229</v>
      </c>
      <c r="F93" s="3" t="s">
        <v>230</v>
      </c>
      <c r="G93" s="4">
        <v>8672.0</v>
      </c>
      <c r="H93" s="3" t="s">
        <v>231</v>
      </c>
      <c r="I93" s="3" t="s">
        <v>108</v>
      </c>
      <c r="J93" s="5" t="str">
        <f>IFERROR(__xludf.DUMMYFUNCTION("GOOGLETRANSLATE(I93,""en"",""az"")"),"Konyunktiv waw :: Say - qadınlıq tək konstruksiyası")</f>
        <v>Konyunktiv waw :: Say - qadınlıq tək konstruksiyası</v>
      </c>
      <c r="K93" s="5" t="str">
        <f>IFERROR(__xludf.DUMMYFUNCTION("GOOGLETRANSLATE(H93,""en"",""az"")"),"və doqquz")</f>
        <v>və doqquz</v>
      </c>
    </row>
    <row r="94">
      <c r="A94" s="1" t="s">
        <v>9</v>
      </c>
      <c r="B94" s="1">
        <v>5.0</v>
      </c>
      <c r="C94" s="1">
        <v>8.0</v>
      </c>
      <c r="D94" s="1">
        <v>9.0</v>
      </c>
      <c r="E94" s="2" t="s">
        <v>209</v>
      </c>
      <c r="F94" s="3" t="s">
        <v>159</v>
      </c>
      <c r="G94" s="4">
        <v>3967.0</v>
      </c>
      <c r="H94" s="3" t="s">
        <v>160</v>
      </c>
      <c r="I94" s="3" t="s">
        <v>161</v>
      </c>
      <c r="J94" s="5" t="str">
        <f>IFERROR(__xludf.DUMMYFUNCTION("GOOGLETRANSLATE(I94,""en"",""az"")"),"Say - qadın cəm")</f>
        <v>Say - qadın cəm</v>
      </c>
      <c r="K94" s="5" t="str">
        <f>IFERROR(__xludf.DUMMYFUNCTION("GOOGLETRANSLATE(H94,""en"",""az"")"),"yüz")</f>
        <v>yüz</v>
      </c>
    </row>
    <row r="95">
      <c r="A95" s="1" t="s">
        <v>9</v>
      </c>
      <c r="B95" s="1">
        <v>5.0</v>
      </c>
      <c r="C95" s="1">
        <v>8.0</v>
      </c>
      <c r="D95" s="1">
        <v>10.0</v>
      </c>
      <c r="E95" s="2" t="s">
        <v>166</v>
      </c>
      <c r="F95" s="3" t="s">
        <v>167</v>
      </c>
      <c r="G95" s="4">
        <v>8141.0</v>
      </c>
      <c r="H95" s="3" t="s">
        <v>111</v>
      </c>
      <c r="I95" s="3" t="s">
        <v>112</v>
      </c>
      <c r="J95" s="5" t="str">
        <f>IFERROR(__xludf.DUMMYFUNCTION("GOOGLETRANSLATE(I95,""en"",""az"")"),"İsim - qadın cinsi tək")</f>
        <v>İsim - qadın cinsi tək</v>
      </c>
      <c r="K95" s="5" t="str">
        <f>IFERROR(__xludf.DUMMYFUNCTION("GOOGLETRANSLATE(H95,""en"",""az"")"),"illər")</f>
        <v>illər</v>
      </c>
    </row>
    <row r="96">
      <c r="A96" s="1" t="s">
        <v>9</v>
      </c>
      <c r="B96" s="1">
        <v>5.0</v>
      </c>
      <c r="C96" s="1">
        <v>8.0</v>
      </c>
      <c r="D96" s="1">
        <v>11.0</v>
      </c>
      <c r="E96" s="2" t="s">
        <v>168</v>
      </c>
      <c r="F96" s="3" t="s">
        <v>169</v>
      </c>
      <c r="G96" s="4">
        <v>4191.0</v>
      </c>
      <c r="H96" s="3" t="s">
        <v>170</v>
      </c>
      <c r="I96" s="3" t="s">
        <v>78</v>
      </c>
      <c r="J96" s="5" t="str">
        <f>IFERROR(__xludf.DUMMYFUNCTION("GOOGLETRANSLATE(I96,""en"",""az"")"),"Bağlayıcı waw :: Feil - Qal - Ardıcıl natamam - üçüncü şəxs kişi halında tək")</f>
        <v>Bağlayıcı waw :: Feil - Qal - Ardıcıl natamam - üçüncü şəxs kişi halında tək</v>
      </c>
      <c r="K96" s="5" t="str">
        <f>IFERROR(__xludf.DUMMYFUNCTION("GOOGLETRANSLATE(H96,""en"",""az"")"),"və o öldü")</f>
        <v>və o öldü</v>
      </c>
    </row>
    <row r="97">
      <c r="A97" s="1" t="s">
        <v>9</v>
      </c>
      <c r="B97" s="1">
        <v>5.0</v>
      </c>
      <c r="C97" s="1">
        <v>8.0</v>
      </c>
      <c r="D97" s="1">
        <v>12.0</v>
      </c>
      <c r="E97" s="2" t="s">
        <v>93</v>
      </c>
      <c r="F97" s="3" t="s">
        <v>94</v>
      </c>
      <c r="G97" s="6"/>
      <c r="H97" s="3" t="s">
        <v>81</v>
      </c>
      <c r="I97" s="3" t="s">
        <v>95</v>
      </c>
      <c r="J97" s="5" t="str">
        <f>IFERROR(__xludf.DUMMYFUNCTION("GOOGLETRANSLATE(I97,""en"",""az"")"),"Durğu işarələri")</f>
        <v>Durğu işarələri</v>
      </c>
      <c r="K97" s="5" t="str">
        <f>IFERROR(__xludf.DUMMYFUNCTION("GOOGLETRANSLATE(H97,""en"",""az"")"),"-")</f>
        <v>-</v>
      </c>
    </row>
    <row r="98">
      <c r="A98" s="1" t="s">
        <v>9</v>
      </c>
      <c r="B98" s="1">
        <v>5.0</v>
      </c>
      <c r="C98" s="1">
        <v>9.0</v>
      </c>
      <c r="D98" s="1">
        <v>1.0</v>
      </c>
      <c r="E98" s="2" t="s">
        <v>232</v>
      </c>
      <c r="F98" s="3" t="s">
        <v>97</v>
      </c>
      <c r="G98" s="4">
        <v>2421.0</v>
      </c>
      <c r="H98" s="3" t="s">
        <v>98</v>
      </c>
      <c r="I98" s="3" t="s">
        <v>78</v>
      </c>
      <c r="J98" s="5" t="str">
        <f>IFERROR(__xludf.DUMMYFUNCTION("GOOGLETRANSLATE(I98,""en"",""az"")"),"Bağlayıcı waw :: Feil - Qal - Ardıcıl natamam - üçüncü şəxs kişi halında tək")</f>
        <v>Bağlayıcı waw :: Feil - Qal - Ardıcıl natamam - üçüncü şəxs kişi halında tək</v>
      </c>
      <c r="K98" s="5" t="str">
        <f>IFERROR(__xludf.DUMMYFUNCTION("GOOGLETRANSLATE(H98,""en"",""az"")"),"Və yaşadı")</f>
        <v>Və yaşadı</v>
      </c>
    </row>
    <row r="99">
      <c r="A99" s="1" t="s">
        <v>9</v>
      </c>
      <c r="B99" s="1">
        <v>5.0</v>
      </c>
      <c r="C99" s="1">
        <v>9.0</v>
      </c>
      <c r="D99" s="1">
        <v>2.0</v>
      </c>
      <c r="E99" s="2" t="s">
        <v>233</v>
      </c>
      <c r="F99" s="3" t="s">
        <v>234</v>
      </c>
      <c r="G99" s="4">
        <v>583.0</v>
      </c>
      <c r="H99" s="3" t="s">
        <v>187</v>
      </c>
      <c r="I99" s="3" t="s">
        <v>25</v>
      </c>
      <c r="J99" s="5" t="str">
        <f>IFERROR(__xludf.DUMMYFUNCTION("GOOGLETRANSLATE(I99,""en"",""az"")"),"İsim - xüsusi - kişi cinsində tək")</f>
        <v>İsim - xüsusi - kişi cinsində tək</v>
      </c>
      <c r="K99" s="5" t="str">
        <f>IFERROR(__xludf.DUMMYFUNCTION("GOOGLETRANSLATE(H99,""en"",""az"")"),"Enoş")</f>
        <v>Enoş</v>
      </c>
    </row>
    <row r="100">
      <c r="A100" s="1" t="s">
        <v>9</v>
      </c>
      <c r="B100" s="1">
        <v>5.0</v>
      </c>
      <c r="C100" s="1">
        <v>9.0</v>
      </c>
      <c r="D100" s="1">
        <v>3.0</v>
      </c>
      <c r="E100" s="2" t="s">
        <v>235</v>
      </c>
      <c r="F100" s="3" t="s">
        <v>236</v>
      </c>
      <c r="G100" s="4">
        <v>8673.0</v>
      </c>
      <c r="H100" s="3" t="s">
        <v>237</v>
      </c>
      <c r="I100" s="3" t="s">
        <v>104</v>
      </c>
      <c r="J100" s="5" t="str">
        <f>IFERROR(__xludf.DUMMYFUNCTION("GOOGLETRANSLATE(I100,""en"",""az"")"),"Say - ümumi cəm")</f>
        <v>Say - ümumi cəm</v>
      </c>
      <c r="K100" s="5" t="str">
        <f>IFERROR(__xludf.DUMMYFUNCTION("GOOGLETRANSLATE(H100,""en"",""az"")"),"doxsan")</f>
        <v>doxsan</v>
      </c>
    </row>
    <row r="101">
      <c r="A101" s="1" t="s">
        <v>9</v>
      </c>
      <c r="B101" s="1">
        <v>5.0</v>
      </c>
      <c r="C101" s="1">
        <v>9.0</v>
      </c>
      <c r="D101" s="1">
        <v>4.0</v>
      </c>
      <c r="E101" s="2" t="s">
        <v>166</v>
      </c>
      <c r="F101" s="3" t="s">
        <v>167</v>
      </c>
      <c r="G101" s="4">
        <v>8141.0</v>
      </c>
      <c r="H101" s="3" t="s">
        <v>111</v>
      </c>
      <c r="I101" s="3" t="s">
        <v>112</v>
      </c>
      <c r="J101" s="5" t="str">
        <f>IFERROR(__xludf.DUMMYFUNCTION("GOOGLETRANSLATE(I101,""en"",""az"")"),"İsim - qadın cinsi tək")</f>
        <v>İsim - qadın cinsi tək</v>
      </c>
      <c r="K101" s="5" t="str">
        <f>IFERROR(__xludf.DUMMYFUNCTION("GOOGLETRANSLATE(H101,""en"",""az"")"),"illər")</f>
        <v>illər</v>
      </c>
    </row>
    <row r="102">
      <c r="A102" s="1" t="s">
        <v>9</v>
      </c>
      <c r="B102" s="1">
        <v>5.0</v>
      </c>
      <c r="C102" s="1">
        <v>9.0</v>
      </c>
      <c r="D102" s="1">
        <v>5.0</v>
      </c>
      <c r="E102" s="2" t="s">
        <v>183</v>
      </c>
      <c r="F102" s="3" t="s">
        <v>114</v>
      </c>
      <c r="G102" s="4">
        <v>3205.0</v>
      </c>
      <c r="H102" s="3" t="s">
        <v>184</v>
      </c>
      <c r="I102" s="3" t="s">
        <v>116</v>
      </c>
      <c r="J102" s="5" t="str">
        <f>IFERROR(__xludf.DUMMYFUNCTION("GOOGLETRANSLATE(I102,""en"",""az"")"),"Bağlayıcı waw :: Fe'l - Hifil - Ardıcıl natamam - üçüncü şəxs kişi formasında tək")</f>
        <v>Bağlayıcı waw :: Fe'l - Hifil - Ardıcıl natamam - üçüncü şəxs kişi formasında tək</v>
      </c>
      <c r="K102" s="5" t="str">
        <f>IFERROR(__xludf.DUMMYFUNCTION("GOOGLETRANSLATE(H102,""en"",""az"")"),"və o, doğdu")</f>
        <v>və o, doğdu</v>
      </c>
    </row>
    <row r="103">
      <c r="A103" s="1" t="s">
        <v>9</v>
      </c>
      <c r="B103" s="1">
        <v>5.0</v>
      </c>
      <c r="C103" s="1">
        <v>9.0</v>
      </c>
      <c r="D103" s="1">
        <v>6.0</v>
      </c>
      <c r="E103" s="2" t="s">
        <v>79</v>
      </c>
      <c r="F103" s="3" t="s">
        <v>80</v>
      </c>
      <c r="G103" s="4">
        <v>853.0</v>
      </c>
      <c r="H103" s="3" t="s">
        <v>81</v>
      </c>
      <c r="I103" s="3" t="s">
        <v>82</v>
      </c>
      <c r="J103" s="5" t="str">
        <f>IFERROR(__xludf.DUMMYFUNCTION("GOOGLETRANSLATE(I103,""en"",""az"")"),"Birbaşa obyekt marker")</f>
        <v>Birbaşa obyekt marker</v>
      </c>
      <c r="K103" s="5" t="str">
        <f>IFERROR(__xludf.DUMMYFUNCTION("GOOGLETRANSLATE(H103,""en"",""az"")"),"-")</f>
        <v>-</v>
      </c>
    </row>
    <row r="104">
      <c r="A104" s="1" t="s">
        <v>9</v>
      </c>
      <c r="B104" s="1">
        <v>5.0</v>
      </c>
      <c r="C104" s="1">
        <v>9.0</v>
      </c>
      <c r="D104" s="1">
        <v>7.0</v>
      </c>
      <c r="E104" s="2" t="s">
        <v>238</v>
      </c>
      <c r="F104" s="3" t="s">
        <v>239</v>
      </c>
      <c r="G104" s="4">
        <v>7018.0</v>
      </c>
      <c r="H104" s="3" t="s">
        <v>240</v>
      </c>
      <c r="I104" s="3" t="s">
        <v>25</v>
      </c>
      <c r="J104" s="5" t="str">
        <f>IFERROR(__xludf.DUMMYFUNCTION("GOOGLETRANSLATE(I104,""en"",""az"")"),"İsim - xüsusi - kişi cinsində tək")</f>
        <v>İsim - xüsusi - kişi cinsində tək</v>
      </c>
      <c r="K104" s="5" t="str">
        <f>IFERROR(__xludf.DUMMYFUNCTION("GOOGLETRANSLATE(H104,""en"",""az"")"),"Keynan")</f>
        <v>Keynan</v>
      </c>
    </row>
    <row r="105">
      <c r="A105" s="1" t="s">
        <v>9</v>
      </c>
      <c r="B105" s="1">
        <v>5.0</v>
      </c>
      <c r="C105" s="1">
        <v>10.0</v>
      </c>
      <c r="D105" s="1">
        <v>1.0</v>
      </c>
      <c r="E105" s="2" t="s">
        <v>96</v>
      </c>
      <c r="F105" s="3" t="s">
        <v>97</v>
      </c>
      <c r="G105" s="4">
        <v>2421.0</v>
      </c>
      <c r="H105" s="3" t="s">
        <v>98</v>
      </c>
      <c r="I105" s="3" t="s">
        <v>78</v>
      </c>
      <c r="J105" s="5" t="str">
        <f>IFERROR(__xludf.DUMMYFUNCTION("GOOGLETRANSLATE(I105,""en"",""az"")"),"Bağlayıcı waw :: Feil - Qal - Ardıcıl natamam - üçüncü şəxs kişi halında tək")</f>
        <v>Bağlayıcı waw :: Feil - Qal - Ardıcıl natamam - üçüncü şəxs kişi halında tək</v>
      </c>
      <c r="K105" s="5" t="str">
        <f>IFERROR(__xludf.DUMMYFUNCTION("GOOGLETRANSLATE(H105,""en"",""az"")"),"Və yaşadı")</f>
        <v>Və yaşadı</v>
      </c>
    </row>
    <row r="106">
      <c r="A106" s="1" t="s">
        <v>9</v>
      </c>
      <c r="B106" s="1">
        <v>5.0</v>
      </c>
      <c r="C106" s="1">
        <v>10.0</v>
      </c>
      <c r="D106" s="1">
        <v>2.0</v>
      </c>
      <c r="E106" s="2" t="s">
        <v>241</v>
      </c>
      <c r="F106" s="3" t="s">
        <v>199</v>
      </c>
      <c r="G106" s="4">
        <v>583.0</v>
      </c>
      <c r="H106" s="3" t="s">
        <v>187</v>
      </c>
      <c r="I106" s="3" t="s">
        <v>25</v>
      </c>
      <c r="J106" s="5" t="str">
        <f>IFERROR(__xludf.DUMMYFUNCTION("GOOGLETRANSLATE(I106,""en"",""az"")"),"İsim - xüsusi - kişi cinsində tək")</f>
        <v>İsim - xüsusi - kişi cinsində tək</v>
      </c>
      <c r="K106" s="5" t="str">
        <f>IFERROR(__xludf.DUMMYFUNCTION("GOOGLETRANSLATE(H106,""en"",""az"")"),"Enoş")</f>
        <v>Enoş</v>
      </c>
    </row>
    <row r="107">
      <c r="A107" s="1" t="s">
        <v>9</v>
      </c>
      <c r="B107" s="1">
        <v>5.0</v>
      </c>
      <c r="C107" s="1">
        <v>10.0</v>
      </c>
      <c r="D107" s="1">
        <v>3.0</v>
      </c>
      <c r="E107" s="2" t="s">
        <v>190</v>
      </c>
      <c r="F107" s="3" t="s">
        <v>191</v>
      </c>
      <c r="G107" s="4">
        <v>310.0</v>
      </c>
      <c r="H107" s="3" t="s">
        <v>192</v>
      </c>
      <c r="I107" s="3" t="s">
        <v>193</v>
      </c>
      <c r="J107" s="5" t="str">
        <f>IFERROR(__xludf.DUMMYFUNCTION("GOOGLETRANSLATE(I107,""en"",""az"")"),"Sözönü")</f>
        <v>Sözönü</v>
      </c>
      <c r="K107" s="5" t="str">
        <f>IFERROR(__xludf.DUMMYFUNCTION("GOOGLETRANSLATE(H107,""en"",""az"")"),"sonra")</f>
        <v>sonra</v>
      </c>
    </row>
    <row r="108">
      <c r="A108" s="1" t="s">
        <v>9</v>
      </c>
      <c r="B108" s="1">
        <v>5.0</v>
      </c>
      <c r="C108" s="1">
        <v>10.0</v>
      </c>
      <c r="D108" s="1">
        <v>4.0</v>
      </c>
      <c r="E108" s="2" t="s">
        <v>194</v>
      </c>
      <c r="F108" s="3" t="s">
        <v>195</v>
      </c>
      <c r="G108" s="4">
        <v>3205.0</v>
      </c>
      <c r="H108" s="3" t="s">
        <v>196</v>
      </c>
      <c r="I108" s="3" t="s">
        <v>197</v>
      </c>
      <c r="J108" s="5" t="str">
        <f>IFERROR(__xludf.DUMMYFUNCTION("GOOGLETRANSLATE(I108,""en"",""az"")"),"Fe'l - Hifil - Məsdər konstruksiyası :: üçüncü şəxs kişi formasında tək")</f>
        <v>Fe'l - Hifil - Məsdər konstruksiyası :: üçüncü şəxs kişi formasında tək</v>
      </c>
      <c r="K108" s="5" t="str">
        <f>IFERROR(__xludf.DUMMYFUNCTION("GOOGLETRANSLATE(H108,""en"",""az"")"),"o doğdu")</f>
        <v>o doğdu</v>
      </c>
    </row>
    <row r="109">
      <c r="A109" s="1" t="s">
        <v>9</v>
      </c>
      <c r="B109" s="1">
        <v>5.0</v>
      </c>
      <c r="C109" s="1">
        <v>10.0</v>
      </c>
      <c r="D109" s="1">
        <v>5.0</v>
      </c>
      <c r="E109" s="2" t="s">
        <v>79</v>
      </c>
      <c r="F109" s="3" t="s">
        <v>80</v>
      </c>
      <c r="G109" s="4">
        <v>853.0</v>
      </c>
      <c r="H109" s="3" t="s">
        <v>81</v>
      </c>
      <c r="I109" s="3" t="s">
        <v>82</v>
      </c>
      <c r="J109" s="5" t="str">
        <f>IFERROR(__xludf.DUMMYFUNCTION("GOOGLETRANSLATE(I109,""en"",""az"")"),"Birbaşa obyekt marker")</f>
        <v>Birbaşa obyekt marker</v>
      </c>
      <c r="K109" s="5" t="str">
        <f>IFERROR(__xludf.DUMMYFUNCTION("GOOGLETRANSLATE(H109,""en"",""az"")"),"-")</f>
        <v>-</v>
      </c>
    </row>
    <row r="110">
      <c r="A110" s="1" t="s">
        <v>9</v>
      </c>
      <c r="B110" s="1">
        <v>5.0</v>
      </c>
      <c r="C110" s="1">
        <v>10.0</v>
      </c>
      <c r="D110" s="1">
        <v>6.0</v>
      </c>
      <c r="E110" s="2" t="s">
        <v>242</v>
      </c>
      <c r="F110" s="3" t="s">
        <v>243</v>
      </c>
      <c r="G110" s="4">
        <v>7018.0</v>
      </c>
      <c r="H110" s="3" t="s">
        <v>240</v>
      </c>
      <c r="I110" s="3" t="s">
        <v>25</v>
      </c>
      <c r="J110" s="5" t="str">
        <f>IFERROR(__xludf.DUMMYFUNCTION("GOOGLETRANSLATE(I110,""en"",""az"")"),"İsim - xüsusi - kişi cinsində tək")</f>
        <v>İsim - xüsusi - kişi cinsində tək</v>
      </c>
      <c r="K110" s="5" t="str">
        <f>IFERROR(__xludf.DUMMYFUNCTION("GOOGLETRANSLATE(H110,""en"",""az"")"),"Keynan")</f>
        <v>Keynan</v>
      </c>
    </row>
    <row r="111">
      <c r="A111" s="1" t="s">
        <v>9</v>
      </c>
      <c r="B111" s="1">
        <v>5.0</v>
      </c>
      <c r="C111" s="1">
        <v>10.0</v>
      </c>
      <c r="D111" s="1">
        <v>7.0</v>
      </c>
      <c r="E111" s="2" t="s">
        <v>244</v>
      </c>
      <c r="F111" s="3" t="s">
        <v>245</v>
      </c>
      <c r="G111" s="4">
        <v>2568.0</v>
      </c>
      <c r="H111" s="3" t="s">
        <v>246</v>
      </c>
      <c r="I111" s="3" t="s">
        <v>157</v>
      </c>
      <c r="J111" s="5" t="str">
        <f>IFERROR(__xludf.DUMMYFUNCTION("GOOGLETRANSLATE(I111,""en"",""az"")"),"Say - qadın tək quruluşu")</f>
        <v>Say - qadın tək quruluşu</v>
      </c>
      <c r="K111" s="5" t="str">
        <f>IFERROR(__xludf.DUMMYFUNCTION("GOOGLETRANSLATE(H111,""en"",""az"")"),"Beş")</f>
        <v>Beş</v>
      </c>
    </row>
    <row r="112">
      <c r="A112" s="1" t="s">
        <v>9</v>
      </c>
      <c r="B112" s="1">
        <v>5.0</v>
      </c>
      <c r="C112" s="1">
        <v>10.0</v>
      </c>
      <c r="D112" s="1">
        <v>8.0</v>
      </c>
      <c r="E112" s="2" t="s">
        <v>226</v>
      </c>
      <c r="F112" s="3" t="s">
        <v>227</v>
      </c>
      <c r="G112" s="4">
        <v>6240.0</v>
      </c>
      <c r="H112" s="3" t="s">
        <v>228</v>
      </c>
      <c r="I112" s="3" t="s">
        <v>178</v>
      </c>
      <c r="J112" s="5" t="str">
        <f>IFERROR(__xludf.DUMMYFUNCTION("GOOGLETRANSLATE(I112,""en"",""az"")"),"Say - qadın tək")</f>
        <v>Say - qadın tək</v>
      </c>
      <c r="K112" s="5" t="str">
        <f>IFERROR(__xludf.DUMMYFUNCTION("GOOGLETRANSLATE(H112,""en"",""az"")"),"[və] on")</f>
        <v>[və] on</v>
      </c>
    </row>
    <row r="113">
      <c r="A113" s="1" t="s">
        <v>9</v>
      </c>
      <c r="B113" s="1">
        <v>5.0</v>
      </c>
      <c r="C113" s="1">
        <v>10.0</v>
      </c>
      <c r="D113" s="1">
        <v>9.0</v>
      </c>
      <c r="E113" s="2" t="s">
        <v>109</v>
      </c>
      <c r="F113" s="3" t="s">
        <v>110</v>
      </c>
      <c r="G113" s="4">
        <v>8141.0</v>
      </c>
      <c r="H113" s="3" t="s">
        <v>111</v>
      </c>
      <c r="I113" s="3" t="s">
        <v>112</v>
      </c>
      <c r="J113" s="5" t="str">
        <f>IFERROR(__xludf.DUMMYFUNCTION("GOOGLETRANSLATE(I113,""en"",""az"")"),"İsim - qadın cinsi tək")</f>
        <v>İsim - qadın cinsi tək</v>
      </c>
      <c r="K113" s="5" t="str">
        <f>IFERROR(__xludf.DUMMYFUNCTION("GOOGLETRANSLATE(H113,""en"",""az"")"),"illər")</f>
        <v>illər</v>
      </c>
    </row>
    <row r="114">
      <c r="A114" s="1" t="s">
        <v>9</v>
      </c>
      <c r="B114" s="1">
        <v>5.0</v>
      </c>
      <c r="C114" s="1">
        <v>10.0</v>
      </c>
      <c r="D114" s="1">
        <v>10.0</v>
      </c>
      <c r="E114" s="2" t="s">
        <v>205</v>
      </c>
      <c r="F114" s="3" t="s">
        <v>206</v>
      </c>
      <c r="G114" s="4">
        <v>8083.0</v>
      </c>
      <c r="H114" s="3" t="s">
        <v>207</v>
      </c>
      <c r="I114" s="3" t="s">
        <v>208</v>
      </c>
      <c r="J114" s="5" t="str">
        <f>IFERROR(__xludf.DUMMYFUNCTION("GOOGLETRANSLATE(I114,""en"",""az"")"),"Bağlayıcı waw :: Say - qadınlıq tək")</f>
        <v>Bağlayıcı waw :: Say - qadınlıq tək</v>
      </c>
      <c r="K114" s="5" t="str">
        <f>IFERROR(__xludf.DUMMYFUNCTION("GOOGLETRANSLATE(H114,""en"",""az"")"),"və səkkiz")</f>
        <v>və səkkiz</v>
      </c>
    </row>
    <row r="115">
      <c r="A115" s="1" t="s">
        <v>9</v>
      </c>
      <c r="B115" s="1">
        <v>5.0</v>
      </c>
      <c r="C115" s="1">
        <v>10.0</v>
      </c>
      <c r="D115" s="1">
        <v>11.0</v>
      </c>
      <c r="E115" s="2" t="s">
        <v>209</v>
      </c>
      <c r="F115" s="3" t="s">
        <v>159</v>
      </c>
      <c r="G115" s="4">
        <v>3967.0</v>
      </c>
      <c r="H115" s="3" t="s">
        <v>160</v>
      </c>
      <c r="I115" s="3" t="s">
        <v>161</v>
      </c>
      <c r="J115" s="5" t="str">
        <f>IFERROR(__xludf.DUMMYFUNCTION("GOOGLETRANSLATE(I115,""en"",""az"")"),"Say - qadın cəm")</f>
        <v>Say - qadın cəm</v>
      </c>
      <c r="K115" s="5" t="str">
        <f>IFERROR(__xludf.DUMMYFUNCTION("GOOGLETRANSLATE(H115,""en"",""az"")"),"yüz")</f>
        <v>yüz</v>
      </c>
    </row>
    <row r="116">
      <c r="A116" s="1" t="s">
        <v>9</v>
      </c>
      <c r="B116" s="1">
        <v>5.0</v>
      </c>
      <c r="C116" s="1">
        <v>10.0</v>
      </c>
      <c r="D116" s="1">
        <v>12.0</v>
      </c>
      <c r="E116" s="2" t="s">
        <v>166</v>
      </c>
      <c r="F116" s="3" t="s">
        <v>167</v>
      </c>
      <c r="G116" s="4">
        <v>8141.0</v>
      </c>
      <c r="H116" s="3" t="s">
        <v>111</v>
      </c>
      <c r="I116" s="3" t="s">
        <v>112</v>
      </c>
      <c r="J116" s="5" t="str">
        <f>IFERROR(__xludf.DUMMYFUNCTION("GOOGLETRANSLATE(I116,""en"",""az"")"),"İsim - qadın cinsi tək")</f>
        <v>İsim - qadın cinsi tək</v>
      </c>
      <c r="K116" s="5" t="str">
        <f>IFERROR(__xludf.DUMMYFUNCTION("GOOGLETRANSLATE(H116,""en"",""az"")"),"illər")</f>
        <v>illər</v>
      </c>
    </row>
    <row r="117">
      <c r="A117" s="1" t="s">
        <v>9</v>
      </c>
      <c r="B117" s="1">
        <v>5.0</v>
      </c>
      <c r="C117" s="1">
        <v>10.0</v>
      </c>
      <c r="D117" s="1">
        <v>13.0</v>
      </c>
      <c r="E117" s="2" t="s">
        <v>113</v>
      </c>
      <c r="F117" s="3" t="s">
        <v>114</v>
      </c>
      <c r="G117" s="4">
        <v>3205.0</v>
      </c>
      <c r="H117" s="3" t="s">
        <v>184</v>
      </c>
      <c r="I117" s="3" t="s">
        <v>116</v>
      </c>
      <c r="J117" s="5" t="str">
        <f>IFERROR(__xludf.DUMMYFUNCTION("GOOGLETRANSLATE(I117,""en"",""az"")"),"Bağlayıcı waw :: Fe'l - Hifil - Ardıcıl natamam - üçüncü şəxs kişi formasında tək")</f>
        <v>Bağlayıcı waw :: Fe'l - Hifil - Ardıcıl natamam - üçüncü şəxs kişi formasında tək</v>
      </c>
      <c r="K117" s="5" t="str">
        <f>IFERROR(__xludf.DUMMYFUNCTION("GOOGLETRANSLATE(H117,""en"",""az"")"),"və o, doğdu")</f>
        <v>və o, doğdu</v>
      </c>
    </row>
    <row r="118">
      <c r="A118" s="1" t="s">
        <v>9</v>
      </c>
      <c r="B118" s="1">
        <v>5.0</v>
      </c>
      <c r="C118" s="1">
        <v>10.0</v>
      </c>
      <c r="D118" s="1">
        <v>14.0</v>
      </c>
      <c r="E118" s="2" t="s">
        <v>210</v>
      </c>
      <c r="F118" s="3" t="s">
        <v>211</v>
      </c>
      <c r="G118" s="4">
        <v>1121.0</v>
      </c>
      <c r="H118" s="3" t="s">
        <v>212</v>
      </c>
      <c r="I118" s="3" t="s">
        <v>37</v>
      </c>
      <c r="J118" s="5" t="str">
        <f>IFERROR(__xludf.DUMMYFUNCTION("GOOGLETRANSLATE(I118,""en"",""az"")"),"İsim - kişi cəm halı")</f>
        <v>İsim - kişi cəm halı</v>
      </c>
      <c r="K118" s="5" t="str">
        <f>IFERROR(__xludf.DUMMYFUNCTION("GOOGLETRANSLATE(H118,""en"",""az"")"),"oğullar")</f>
        <v>oğullar</v>
      </c>
    </row>
    <row r="119">
      <c r="A119" s="1" t="s">
        <v>9</v>
      </c>
      <c r="B119" s="1">
        <v>5.0</v>
      </c>
      <c r="C119" s="1">
        <v>10.0</v>
      </c>
      <c r="D119" s="1">
        <v>15.0</v>
      </c>
      <c r="E119" s="2" t="s">
        <v>213</v>
      </c>
      <c r="F119" s="3" t="s">
        <v>214</v>
      </c>
      <c r="G119" s="4">
        <v>1323.0</v>
      </c>
      <c r="H119" s="3" t="s">
        <v>215</v>
      </c>
      <c r="I119" s="3" t="s">
        <v>216</v>
      </c>
      <c r="J119" s="5" t="str">
        <f>IFERROR(__xludf.DUMMYFUNCTION("GOOGLETRANSLATE(I119,""en"",""az"")"),"Conjunctive waw :: Noun - qadın cəm")</f>
        <v>Conjunctive waw :: Noun - qadın cəm</v>
      </c>
      <c r="K119" s="5" t="str">
        <f>IFERROR(__xludf.DUMMYFUNCTION("GOOGLETRANSLATE(H119,""en"",""az"")"),"və qızları")</f>
        <v>və qızları</v>
      </c>
    </row>
    <row r="120">
      <c r="A120" s="1" t="s">
        <v>9</v>
      </c>
      <c r="B120" s="1">
        <v>5.0</v>
      </c>
      <c r="C120" s="1">
        <v>11.0</v>
      </c>
      <c r="D120" s="1">
        <v>1.0</v>
      </c>
      <c r="E120" s="2" t="s">
        <v>217</v>
      </c>
      <c r="F120" s="3" t="s">
        <v>135</v>
      </c>
      <c r="G120" s="4">
        <v>1961.0</v>
      </c>
      <c r="H120" s="3" t="s">
        <v>136</v>
      </c>
      <c r="I120" s="3" t="s">
        <v>137</v>
      </c>
      <c r="J120" s="5" t="str">
        <f>IFERROR(__xludf.DUMMYFUNCTION("GOOGLETRANSLATE(I120,""en"",""az"")"),"Bağlayıcı waw :: Feil - Qal - Ardıcıl natamam - üçüncü şəxs kişi formasında cəm")</f>
        <v>Bağlayıcı waw :: Feil - Qal - Ardıcıl natamam - üçüncü şəxs kişi formasında cəm</v>
      </c>
      <c r="K120" s="5" t="str">
        <f>IFERROR(__xludf.DUMMYFUNCTION("GOOGLETRANSLATE(H120,""en"",""az"")"),"Elə idilər də")</f>
        <v>Elə idilər də</v>
      </c>
    </row>
    <row r="121">
      <c r="A121" s="1" t="s">
        <v>9</v>
      </c>
      <c r="B121" s="1">
        <v>5.0</v>
      </c>
      <c r="C121" s="1">
        <v>11.0</v>
      </c>
      <c r="D121" s="1">
        <v>2.0</v>
      </c>
      <c r="E121" s="2" t="s">
        <v>138</v>
      </c>
      <c r="F121" s="3" t="s">
        <v>139</v>
      </c>
      <c r="G121" s="4">
        <v>3605.0</v>
      </c>
      <c r="H121" s="3" t="s">
        <v>140</v>
      </c>
      <c r="I121" s="3" t="s">
        <v>17</v>
      </c>
      <c r="J121" s="5" t="str">
        <f>IFERROR(__xludf.DUMMYFUNCTION("GOOGLETRANSLATE(I121,""en"",""az"")"),"İsim - kişi cinsində tək konstruksiya")</f>
        <v>İsim - kişi cinsində tək konstruksiya</v>
      </c>
      <c r="K121" s="5" t="str">
        <f>IFERROR(__xludf.DUMMYFUNCTION("GOOGLETRANSLATE(H121,""en"",""az"")"),"hamısı")</f>
        <v>hamısı</v>
      </c>
    </row>
    <row r="122">
      <c r="A122" s="1" t="s">
        <v>9</v>
      </c>
      <c r="B122" s="1">
        <v>5.0</v>
      </c>
      <c r="C122" s="1">
        <v>11.0</v>
      </c>
      <c r="D122" s="1">
        <v>3.0</v>
      </c>
      <c r="E122" s="2" t="s">
        <v>247</v>
      </c>
      <c r="F122" s="3" t="s">
        <v>142</v>
      </c>
      <c r="G122" s="4">
        <v>3117.0</v>
      </c>
      <c r="H122" s="3" t="s">
        <v>143</v>
      </c>
      <c r="I122" s="3" t="s">
        <v>144</v>
      </c>
      <c r="J122" s="5" t="str">
        <f>IFERROR(__xludf.DUMMYFUNCTION("GOOGLETRANSLATE(I122,""en"",""az"")"),"İsim - kişi cəm forması")</f>
        <v>İsim - kişi cəm forması</v>
      </c>
      <c r="K122" s="5" t="str">
        <f>IFERROR(__xludf.DUMMYFUNCTION("GOOGLETRANSLATE(H122,""en"",""az"")"),"günlər")</f>
        <v>günlər</v>
      </c>
    </row>
    <row r="123">
      <c r="A123" s="1" t="s">
        <v>9</v>
      </c>
      <c r="B123" s="1">
        <v>5.0</v>
      </c>
      <c r="C123" s="1">
        <v>11.0</v>
      </c>
      <c r="D123" s="1">
        <v>4.0</v>
      </c>
      <c r="E123" s="2" t="s">
        <v>198</v>
      </c>
      <c r="F123" s="3" t="s">
        <v>199</v>
      </c>
      <c r="G123" s="4">
        <v>583.0</v>
      </c>
      <c r="H123" s="3" t="s">
        <v>248</v>
      </c>
      <c r="I123" s="3" t="s">
        <v>25</v>
      </c>
      <c r="J123" s="5" t="str">
        <f>IFERROR(__xludf.DUMMYFUNCTION("GOOGLETRANSLATE(I123,""en"",""az"")"),"İsim - xüsusi - kişi cinsində tək")</f>
        <v>İsim - xüsusi - kişi cinsində tək</v>
      </c>
      <c r="K123" s="5" t="str">
        <f>IFERROR(__xludf.DUMMYFUNCTION("GOOGLETRANSLATE(H123,""en"",""az"")"),"Enoşun")</f>
        <v>Enoşun</v>
      </c>
    </row>
    <row r="124">
      <c r="A124" s="1" t="s">
        <v>9</v>
      </c>
      <c r="B124" s="1">
        <v>5.0</v>
      </c>
      <c r="C124" s="1">
        <v>11.0</v>
      </c>
      <c r="D124" s="1">
        <v>5.0</v>
      </c>
      <c r="E124" s="2" t="s">
        <v>249</v>
      </c>
      <c r="F124" s="3" t="s">
        <v>176</v>
      </c>
      <c r="G124" s="4">
        <v>2568.0</v>
      </c>
      <c r="H124" s="3" t="s">
        <v>177</v>
      </c>
      <c r="I124" s="3" t="s">
        <v>178</v>
      </c>
      <c r="J124" s="5" t="str">
        <f>IFERROR(__xludf.DUMMYFUNCTION("GOOGLETRANSLATE(I124,""en"",""az"")"),"Say - qadın tək")</f>
        <v>Say - qadın tək</v>
      </c>
      <c r="K124" s="5" t="str">
        <f>IFERROR(__xludf.DUMMYFUNCTION("GOOGLETRANSLATE(H124,""en"",""az"")"),"beş")</f>
        <v>beş</v>
      </c>
    </row>
    <row r="125">
      <c r="A125" s="1" t="s">
        <v>9</v>
      </c>
      <c r="B125" s="1">
        <v>5.0</v>
      </c>
      <c r="C125" s="1">
        <v>11.0</v>
      </c>
      <c r="D125" s="1">
        <v>6.0</v>
      </c>
      <c r="E125" s="2" t="s">
        <v>203</v>
      </c>
      <c r="F125" s="3" t="s">
        <v>204</v>
      </c>
      <c r="G125" s="4">
        <v>8141.0</v>
      </c>
      <c r="H125" s="3" t="s">
        <v>111</v>
      </c>
      <c r="I125" s="3" t="s">
        <v>181</v>
      </c>
      <c r="J125" s="5" t="str">
        <f>IFERROR(__xludf.DUMMYFUNCTION("GOOGLETRANSLATE(I125,""en"",""az"")"),"İsim - qadın cəm")</f>
        <v>İsim - qadın cəm</v>
      </c>
      <c r="K125" s="5" t="str">
        <f>IFERROR(__xludf.DUMMYFUNCTION("GOOGLETRANSLATE(H125,""en"",""az"")"),"illər")</f>
        <v>illər</v>
      </c>
    </row>
    <row r="126">
      <c r="A126" s="1" t="s">
        <v>9</v>
      </c>
      <c r="B126" s="1">
        <v>5.0</v>
      </c>
      <c r="C126" s="1">
        <v>11.0</v>
      </c>
      <c r="D126" s="1">
        <v>7.0</v>
      </c>
      <c r="E126" s="2" t="s">
        <v>229</v>
      </c>
      <c r="F126" s="3" t="s">
        <v>230</v>
      </c>
      <c r="G126" s="4">
        <v>8672.0</v>
      </c>
      <c r="H126" s="3" t="s">
        <v>231</v>
      </c>
      <c r="I126" s="3" t="s">
        <v>108</v>
      </c>
      <c r="J126" s="5" t="str">
        <f>IFERROR(__xludf.DUMMYFUNCTION("GOOGLETRANSLATE(I126,""en"",""az"")"),"Konyunktiv waw :: Say - qadınlıq tək konstruksiyası")</f>
        <v>Konyunktiv waw :: Say - qadınlıq tək konstruksiyası</v>
      </c>
      <c r="K126" s="5" t="str">
        <f>IFERROR(__xludf.DUMMYFUNCTION("GOOGLETRANSLATE(H126,""en"",""az"")"),"və doqquz")</f>
        <v>və doqquz</v>
      </c>
    </row>
    <row r="127">
      <c r="A127" s="1" t="s">
        <v>9</v>
      </c>
      <c r="B127" s="1">
        <v>5.0</v>
      </c>
      <c r="C127" s="1">
        <v>11.0</v>
      </c>
      <c r="D127" s="1">
        <v>8.0</v>
      </c>
      <c r="E127" s="2" t="s">
        <v>209</v>
      </c>
      <c r="F127" s="3" t="s">
        <v>159</v>
      </c>
      <c r="G127" s="4">
        <v>3967.0</v>
      </c>
      <c r="H127" s="3" t="s">
        <v>160</v>
      </c>
      <c r="I127" s="3" t="s">
        <v>161</v>
      </c>
      <c r="J127" s="5" t="str">
        <f>IFERROR(__xludf.DUMMYFUNCTION("GOOGLETRANSLATE(I127,""en"",""az"")"),"Say - qadın cəm")</f>
        <v>Say - qadın cəm</v>
      </c>
      <c r="K127" s="5" t="str">
        <f>IFERROR(__xludf.DUMMYFUNCTION("GOOGLETRANSLATE(H127,""en"",""az"")"),"yüz")</f>
        <v>yüz</v>
      </c>
    </row>
    <row r="128">
      <c r="A128" s="1" t="s">
        <v>9</v>
      </c>
      <c r="B128" s="1">
        <v>5.0</v>
      </c>
      <c r="C128" s="1">
        <v>11.0</v>
      </c>
      <c r="D128" s="1">
        <v>9.0</v>
      </c>
      <c r="E128" s="2" t="s">
        <v>166</v>
      </c>
      <c r="F128" s="3" t="s">
        <v>167</v>
      </c>
      <c r="G128" s="4">
        <v>8141.0</v>
      </c>
      <c r="H128" s="3" t="s">
        <v>111</v>
      </c>
      <c r="I128" s="3" t="s">
        <v>112</v>
      </c>
      <c r="J128" s="5" t="str">
        <f>IFERROR(__xludf.DUMMYFUNCTION("GOOGLETRANSLATE(I128,""en"",""az"")"),"İsim - qadın cinsi tək")</f>
        <v>İsim - qadın cinsi tək</v>
      </c>
      <c r="K128" s="5" t="str">
        <f>IFERROR(__xludf.DUMMYFUNCTION("GOOGLETRANSLATE(H128,""en"",""az"")"),"illər")</f>
        <v>illər</v>
      </c>
    </row>
    <row r="129">
      <c r="A129" s="1" t="s">
        <v>9</v>
      </c>
      <c r="B129" s="1">
        <v>5.0</v>
      </c>
      <c r="C129" s="1">
        <v>11.0</v>
      </c>
      <c r="D129" s="1">
        <v>10.0</v>
      </c>
      <c r="E129" s="2" t="s">
        <v>168</v>
      </c>
      <c r="F129" s="3" t="s">
        <v>169</v>
      </c>
      <c r="G129" s="4">
        <v>4191.0</v>
      </c>
      <c r="H129" s="3" t="s">
        <v>170</v>
      </c>
      <c r="I129" s="3" t="s">
        <v>78</v>
      </c>
      <c r="J129" s="5" t="str">
        <f>IFERROR(__xludf.DUMMYFUNCTION("GOOGLETRANSLATE(I129,""en"",""az"")"),"Bağlayıcı waw :: Feil - Qal - Ardıcıl natamam - üçüncü şəxs kişi halında tək")</f>
        <v>Bağlayıcı waw :: Feil - Qal - Ardıcıl natamam - üçüncü şəxs kişi halında tək</v>
      </c>
      <c r="K129" s="5" t="str">
        <f>IFERROR(__xludf.DUMMYFUNCTION("GOOGLETRANSLATE(H129,""en"",""az"")"),"və o öldü")</f>
        <v>və o öldü</v>
      </c>
    </row>
    <row r="130">
      <c r="A130" s="1" t="s">
        <v>9</v>
      </c>
      <c r="B130" s="1">
        <v>5.0</v>
      </c>
      <c r="C130" s="1">
        <v>11.0</v>
      </c>
      <c r="D130" s="1">
        <v>11.0</v>
      </c>
      <c r="E130" s="2" t="s">
        <v>93</v>
      </c>
      <c r="F130" s="3" t="s">
        <v>94</v>
      </c>
      <c r="G130" s="6"/>
      <c r="H130" s="3" t="s">
        <v>81</v>
      </c>
      <c r="I130" s="3" t="s">
        <v>95</v>
      </c>
      <c r="J130" s="5" t="str">
        <f>IFERROR(__xludf.DUMMYFUNCTION("GOOGLETRANSLATE(I130,""en"",""az"")"),"Durğu işarələri")</f>
        <v>Durğu işarələri</v>
      </c>
      <c r="K130" s="5" t="str">
        <f>IFERROR(__xludf.DUMMYFUNCTION("GOOGLETRANSLATE(H130,""en"",""az"")"),"-")</f>
        <v>-</v>
      </c>
    </row>
    <row r="131">
      <c r="A131" s="1" t="s">
        <v>9</v>
      </c>
      <c r="B131" s="1">
        <v>5.0</v>
      </c>
      <c r="C131" s="1">
        <v>12.0</v>
      </c>
      <c r="D131" s="1">
        <v>1.0</v>
      </c>
      <c r="E131" s="2" t="s">
        <v>232</v>
      </c>
      <c r="F131" s="3" t="s">
        <v>97</v>
      </c>
      <c r="G131" s="4">
        <v>2421.0</v>
      </c>
      <c r="H131" s="3" t="s">
        <v>98</v>
      </c>
      <c r="I131" s="3" t="s">
        <v>78</v>
      </c>
      <c r="J131" s="5" t="str">
        <f>IFERROR(__xludf.DUMMYFUNCTION("GOOGLETRANSLATE(I131,""en"",""az"")"),"Bağlayıcı waw :: Feil - Qal - Ardıcıl natamam - üçüncü şəxs kişi halında tək")</f>
        <v>Bağlayıcı waw :: Feil - Qal - Ardıcıl natamam - üçüncü şəxs kişi halında tək</v>
      </c>
      <c r="K131" s="5" t="str">
        <f>IFERROR(__xludf.DUMMYFUNCTION("GOOGLETRANSLATE(H131,""en"",""az"")"),"Və yaşadı")</f>
        <v>Və yaşadı</v>
      </c>
    </row>
    <row r="132">
      <c r="A132" s="1" t="s">
        <v>9</v>
      </c>
      <c r="B132" s="1">
        <v>5.0</v>
      </c>
      <c r="C132" s="1">
        <v>12.0</v>
      </c>
      <c r="D132" s="1">
        <v>2.0</v>
      </c>
      <c r="E132" s="2" t="s">
        <v>250</v>
      </c>
      <c r="F132" s="3" t="s">
        <v>251</v>
      </c>
      <c r="G132" s="4">
        <v>7018.0</v>
      </c>
      <c r="H132" s="3" t="s">
        <v>240</v>
      </c>
      <c r="I132" s="3" t="s">
        <v>25</v>
      </c>
      <c r="J132" s="5" t="str">
        <f>IFERROR(__xludf.DUMMYFUNCTION("GOOGLETRANSLATE(I132,""en"",""az"")"),"İsim - xüsusi - kişi cinsində tək")</f>
        <v>İsim - xüsusi - kişi cinsində tək</v>
      </c>
      <c r="K132" s="5" t="str">
        <f>IFERROR(__xludf.DUMMYFUNCTION("GOOGLETRANSLATE(H132,""en"",""az"")"),"Keynan")</f>
        <v>Keynan</v>
      </c>
    </row>
    <row r="133">
      <c r="A133" s="1" t="s">
        <v>9</v>
      </c>
      <c r="B133" s="1">
        <v>5.0</v>
      </c>
      <c r="C133" s="1">
        <v>12.0</v>
      </c>
      <c r="D133" s="1">
        <v>3.0</v>
      </c>
      <c r="E133" s="2" t="s">
        <v>252</v>
      </c>
      <c r="F133" s="3" t="s">
        <v>253</v>
      </c>
      <c r="G133" s="4">
        <v>7657.0</v>
      </c>
      <c r="H133" s="3" t="s">
        <v>254</v>
      </c>
      <c r="I133" s="3" t="s">
        <v>104</v>
      </c>
      <c r="J133" s="5" t="str">
        <f>IFERROR(__xludf.DUMMYFUNCTION("GOOGLETRANSLATE(I133,""en"",""az"")"),"Say - ümumi cəm")</f>
        <v>Say - ümumi cəm</v>
      </c>
      <c r="K133" s="5" t="str">
        <f>IFERROR(__xludf.DUMMYFUNCTION("GOOGLETRANSLATE(H133,""en"",""az"")"),"yetmiş")</f>
        <v>yetmiş</v>
      </c>
    </row>
    <row r="134">
      <c r="A134" s="1" t="s">
        <v>9</v>
      </c>
      <c r="B134" s="1">
        <v>5.0</v>
      </c>
      <c r="C134" s="1">
        <v>12.0</v>
      </c>
      <c r="D134" s="1">
        <v>4.0</v>
      </c>
      <c r="E134" s="2" t="s">
        <v>166</v>
      </c>
      <c r="F134" s="3" t="s">
        <v>167</v>
      </c>
      <c r="G134" s="4">
        <v>8141.0</v>
      </c>
      <c r="H134" s="3" t="s">
        <v>111</v>
      </c>
      <c r="I134" s="3" t="s">
        <v>112</v>
      </c>
      <c r="J134" s="5" t="str">
        <f>IFERROR(__xludf.DUMMYFUNCTION("GOOGLETRANSLATE(I134,""en"",""az"")"),"İsim - qadın cinsi tək")</f>
        <v>İsim - qadın cinsi tək</v>
      </c>
      <c r="K134" s="5" t="str">
        <f>IFERROR(__xludf.DUMMYFUNCTION("GOOGLETRANSLATE(H134,""en"",""az"")"),"illər")</f>
        <v>illər</v>
      </c>
    </row>
    <row r="135">
      <c r="A135" s="1" t="s">
        <v>9</v>
      </c>
      <c r="B135" s="1">
        <v>5.0</v>
      </c>
      <c r="C135" s="1">
        <v>12.0</v>
      </c>
      <c r="D135" s="1">
        <v>5.0</v>
      </c>
      <c r="E135" s="2" t="s">
        <v>183</v>
      </c>
      <c r="F135" s="3" t="s">
        <v>114</v>
      </c>
      <c r="G135" s="4">
        <v>3205.0</v>
      </c>
      <c r="H135" s="3" t="s">
        <v>184</v>
      </c>
      <c r="I135" s="3" t="s">
        <v>116</v>
      </c>
      <c r="J135" s="5" t="str">
        <f>IFERROR(__xludf.DUMMYFUNCTION("GOOGLETRANSLATE(I135,""en"",""az"")"),"Bağlayıcı waw :: Fe'l - Hifil - Ardıcıl natamam - üçüncü şəxs kişi formasında tək")</f>
        <v>Bağlayıcı waw :: Fe'l - Hifil - Ardıcıl natamam - üçüncü şəxs kişi formasında tək</v>
      </c>
      <c r="K135" s="5" t="str">
        <f>IFERROR(__xludf.DUMMYFUNCTION("GOOGLETRANSLATE(H135,""en"",""az"")"),"və o, doğdu")</f>
        <v>və o, doğdu</v>
      </c>
    </row>
    <row r="136">
      <c r="A136" s="1" t="s">
        <v>9</v>
      </c>
      <c r="B136" s="1">
        <v>5.0</v>
      </c>
      <c r="C136" s="1">
        <v>12.0</v>
      </c>
      <c r="D136" s="1">
        <v>6.0</v>
      </c>
      <c r="E136" s="2" t="s">
        <v>79</v>
      </c>
      <c r="F136" s="3" t="s">
        <v>80</v>
      </c>
      <c r="G136" s="4">
        <v>853.0</v>
      </c>
      <c r="H136" s="3" t="s">
        <v>81</v>
      </c>
      <c r="I136" s="3" t="s">
        <v>82</v>
      </c>
      <c r="J136" s="5" t="str">
        <f>IFERROR(__xludf.DUMMYFUNCTION("GOOGLETRANSLATE(I136,""en"",""az"")"),"Birbaşa obyekt marker")</f>
        <v>Birbaşa obyekt marker</v>
      </c>
      <c r="K136" s="5" t="str">
        <f>IFERROR(__xludf.DUMMYFUNCTION("GOOGLETRANSLATE(H136,""en"",""az"")"),"-")</f>
        <v>-</v>
      </c>
    </row>
    <row r="137">
      <c r="A137" s="1" t="s">
        <v>9</v>
      </c>
      <c r="B137" s="1">
        <v>5.0</v>
      </c>
      <c r="C137" s="1">
        <v>12.0</v>
      </c>
      <c r="D137" s="1">
        <v>7.0</v>
      </c>
      <c r="E137" s="2" t="s">
        <v>255</v>
      </c>
      <c r="F137" s="3" t="s">
        <v>256</v>
      </c>
      <c r="G137" s="4">
        <v>4111.0</v>
      </c>
      <c r="H137" s="3" t="s">
        <v>257</v>
      </c>
      <c r="I137" s="3" t="s">
        <v>25</v>
      </c>
      <c r="J137" s="5" t="str">
        <f>IFERROR(__xludf.DUMMYFUNCTION("GOOGLETRANSLATE(I137,""en"",""az"")"),"İsim - xüsusi - kişi cinsində tək")</f>
        <v>İsim - xüsusi - kişi cinsində tək</v>
      </c>
      <c r="K137" s="5" t="str">
        <f>IFERROR(__xludf.DUMMYFUNCTION("GOOGLETRANSLATE(H137,""en"",""az"")"),"Mahalalel")</f>
        <v>Mahalalel</v>
      </c>
    </row>
    <row r="138">
      <c r="A138" s="1" t="s">
        <v>9</v>
      </c>
      <c r="B138" s="1">
        <v>5.0</v>
      </c>
      <c r="C138" s="1">
        <v>13.0</v>
      </c>
      <c r="D138" s="1">
        <v>1.0</v>
      </c>
      <c r="E138" s="2" t="s">
        <v>258</v>
      </c>
      <c r="F138" s="3" t="s">
        <v>97</v>
      </c>
      <c r="G138" s="4">
        <v>2421.0</v>
      </c>
      <c r="H138" s="3" t="s">
        <v>98</v>
      </c>
      <c r="I138" s="3" t="s">
        <v>78</v>
      </c>
      <c r="J138" s="5" t="str">
        <f>IFERROR(__xludf.DUMMYFUNCTION("GOOGLETRANSLATE(I138,""en"",""az"")"),"Bağlayıcı waw :: Feil - Qal - Ardıcıl natamam - üçüncü şəxs kişi halında tək")</f>
        <v>Bağlayıcı waw :: Feil - Qal - Ardıcıl natamam - üçüncü şəxs kişi halında tək</v>
      </c>
      <c r="K138" s="5" t="str">
        <f>IFERROR(__xludf.DUMMYFUNCTION("GOOGLETRANSLATE(H138,""en"",""az"")"),"Və yaşadı")</f>
        <v>Və yaşadı</v>
      </c>
    </row>
    <row r="139">
      <c r="A139" s="1" t="s">
        <v>9</v>
      </c>
      <c r="B139" s="1">
        <v>5.0</v>
      </c>
      <c r="C139" s="1">
        <v>13.0</v>
      </c>
      <c r="D139" s="1">
        <v>2.0</v>
      </c>
      <c r="E139" s="2" t="s">
        <v>259</v>
      </c>
      <c r="F139" s="3" t="s">
        <v>243</v>
      </c>
      <c r="G139" s="4">
        <v>7018.0</v>
      </c>
      <c r="H139" s="3" t="s">
        <v>240</v>
      </c>
      <c r="I139" s="3" t="s">
        <v>25</v>
      </c>
      <c r="J139" s="5" t="str">
        <f>IFERROR(__xludf.DUMMYFUNCTION("GOOGLETRANSLATE(I139,""en"",""az"")"),"İsim - xüsusi - kişi cinsində tək")</f>
        <v>İsim - xüsusi - kişi cinsində tək</v>
      </c>
      <c r="K139" s="5" t="str">
        <f>IFERROR(__xludf.DUMMYFUNCTION("GOOGLETRANSLATE(H139,""en"",""az"")"),"Keynan")</f>
        <v>Keynan</v>
      </c>
    </row>
    <row r="140">
      <c r="A140" s="1" t="s">
        <v>9</v>
      </c>
      <c r="B140" s="1">
        <v>5.0</v>
      </c>
      <c r="C140" s="1">
        <v>13.0</v>
      </c>
      <c r="D140" s="1">
        <v>3.0</v>
      </c>
      <c r="E140" s="2" t="s">
        <v>260</v>
      </c>
      <c r="F140" s="3" t="s">
        <v>191</v>
      </c>
      <c r="G140" s="4">
        <v>310.0</v>
      </c>
      <c r="H140" s="3" t="s">
        <v>192</v>
      </c>
      <c r="I140" s="3" t="s">
        <v>193</v>
      </c>
      <c r="J140" s="5" t="str">
        <f>IFERROR(__xludf.DUMMYFUNCTION("GOOGLETRANSLATE(I140,""en"",""az"")"),"Sözönü")</f>
        <v>Sözönü</v>
      </c>
      <c r="K140" s="5" t="str">
        <f>IFERROR(__xludf.DUMMYFUNCTION("GOOGLETRANSLATE(H140,""en"",""az"")"),"sonra")</f>
        <v>sonra</v>
      </c>
    </row>
    <row r="141">
      <c r="A141" s="1" t="s">
        <v>9</v>
      </c>
      <c r="B141" s="1">
        <v>5.0</v>
      </c>
      <c r="C141" s="1">
        <v>13.0</v>
      </c>
      <c r="D141" s="1">
        <v>4.0</v>
      </c>
      <c r="E141" s="2" t="s">
        <v>194</v>
      </c>
      <c r="F141" s="3" t="s">
        <v>195</v>
      </c>
      <c r="G141" s="4">
        <v>3205.0</v>
      </c>
      <c r="H141" s="3" t="s">
        <v>196</v>
      </c>
      <c r="I141" s="3" t="s">
        <v>197</v>
      </c>
      <c r="J141" s="5" t="str">
        <f>IFERROR(__xludf.DUMMYFUNCTION("GOOGLETRANSLATE(I141,""en"",""az"")"),"Fe'l - Hifil - Məsdər konstruksiyası :: üçüncü şəxs kişi formasında tək")</f>
        <v>Fe'l - Hifil - Məsdər konstruksiyası :: üçüncü şəxs kişi formasında tək</v>
      </c>
      <c r="K141" s="5" t="str">
        <f>IFERROR(__xludf.DUMMYFUNCTION("GOOGLETRANSLATE(H141,""en"",""az"")"),"o doğdu")</f>
        <v>o doğdu</v>
      </c>
    </row>
    <row r="142">
      <c r="A142" s="1" t="s">
        <v>9</v>
      </c>
      <c r="B142" s="1">
        <v>5.0</v>
      </c>
      <c r="C142" s="1">
        <v>13.0</v>
      </c>
      <c r="D142" s="1">
        <v>5.0</v>
      </c>
      <c r="E142" s="2" t="s">
        <v>79</v>
      </c>
      <c r="F142" s="3" t="s">
        <v>80</v>
      </c>
      <c r="G142" s="4">
        <v>853.0</v>
      </c>
      <c r="H142" s="3" t="s">
        <v>81</v>
      </c>
      <c r="I142" s="3" t="s">
        <v>82</v>
      </c>
      <c r="J142" s="5" t="str">
        <f>IFERROR(__xludf.DUMMYFUNCTION("GOOGLETRANSLATE(I142,""en"",""az"")"),"Birbaşa obyekt marker")</f>
        <v>Birbaşa obyekt marker</v>
      </c>
      <c r="K142" s="5" t="str">
        <f>IFERROR(__xludf.DUMMYFUNCTION("GOOGLETRANSLATE(H142,""en"",""az"")"),"-")</f>
        <v>-</v>
      </c>
    </row>
    <row r="143">
      <c r="A143" s="1" t="s">
        <v>9</v>
      </c>
      <c r="B143" s="1">
        <v>5.0</v>
      </c>
      <c r="C143" s="1">
        <v>13.0</v>
      </c>
      <c r="D143" s="1">
        <v>6.0</v>
      </c>
      <c r="E143" s="2" t="s">
        <v>261</v>
      </c>
      <c r="F143" s="3" t="s">
        <v>262</v>
      </c>
      <c r="G143" s="4">
        <v>4111.0</v>
      </c>
      <c r="H143" s="3" t="s">
        <v>257</v>
      </c>
      <c r="I143" s="3" t="s">
        <v>25</v>
      </c>
      <c r="J143" s="5" t="str">
        <f>IFERROR(__xludf.DUMMYFUNCTION("GOOGLETRANSLATE(I143,""en"",""az"")"),"İsim - xüsusi - kişi cinsində tək")</f>
        <v>İsim - xüsusi - kişi cinsində tək</v>
      </c>
      <c r="K143" s="5" t="str">
        <f>IFERROR(__xludf.DUMMYFUNCTION("GOOGLETRANSLATE(H143,""en"",""az"")"),"Mahalalel")</f>
        <v>Mahalalel</v>
      </c>
    </row>
    <row r="144">
      <c r="A144" s="1" t="s">
        <v>9</v>
      </c>
      <c r="B144" s="1">
        <v>5.0</v>
      </c>
      <c r="C144" s="1">
        <v>13.0</v>
      </c>
      <c r="D144" s="1">
        <v>7.0</v>
      </c>
      <c r="E144" s="2" t="s">
        <v>263</v>
      </c>
      <c r="F144" s="3" t="s">
        <v>264</v>
      </c>
      <c r="G144" s="4">
        <v>705.0</v>
      </c>
      <c r="H144" s="3" t="s">
        <v>265</v>
      </c>
      <c r="I144" s="3" t="s">
        <v>104</v>
      </c>
      <c r="J144" s="5" t="str">
        <f>IFERROR(__xludf.DUMMYFUNCTION("GOOGLETRANSLATE(I144,""en"",""az"")"),"Say - ümumi cəm")</f>
        <v>Say - ümumi cəm</v>
      </c>
      <c r="K144" s="5" t="str">
        <f>IFERROR(__xludf.DUMMYFUNCTION("GOOGLETRANSLATE(H144,""en"",""az"")"),"qırx")</f>
        <v>qırx</v>
      </c>
    </row>
    <row r="145">
      <c r="A145" s="1" t="s">
        <v>9</v>
      </c>
      <c r="B145" s="1">
        <v>5.0</v>
      </c>
      <c r="C145" s="1">
        <v>13.0</v>
      </c>
      <c r="D145" s="1">
        <v>8.0</v>
      </c>
      <c r="E145" s="2" t="s">
        <v>109</v>
      </c>
      <c r="F145" s="3" t="s">
        <v>110</v>
      </c>
      <c r="G145" s="4">
        <v>8141.0</v>
      </c>
      <c r="H145" s="3" t="s">
        <v>111</v>
      </c>
      <c r="I145" s="3" t="s">
        <v>112</v>
      </c>
      <c r="J145" s="5" t="str">
        <f>IFERROR(__xludf.DUMMYFUNCTION("GOOGLETRANSLATE(I145,""en"",""az"")"),"İsim - qadın cinsi tək")</f>
        <v>İsim - qadın cinsi tək</v>
      </c>
      <c r="K145" s="5" t="str">
        <f>IFERROR(__xludf.DUMMYFUNCTION("GOOGLETRANSLATE(H145,""en"",""az"")"),"illər")</f>
        <v>illər</v>
      </c>
    </row>
    <row r="146">
      <c r="A146" s="1" t="s">
        <v>9</v>
      </c>
      <c r="B146" s="1">
        <v>5.0</v>
      </c>
      <c r="C146" s="1">
        <v>13.0</v>
      </c>
      <c r="D146" s="1">
        <v>9.0</v>
      </c>
      <c r="E146" s="2" t="s">
        <v>205</v>
      </c>
      <c r="F146" s="3" t="s">
        <v>206</v>
      </c>
      <c r="G146" s="4">
        <v>8083.0</v>
      </c>
      <c r="H146" s="3" t="s">
        <v>207</v>
      </c>
      <c r="I146" s="3" t="s">
        <v>208</v>
      </c>
      <c r="J146" s="5" t="str">
        <f>IFERROR(__xludf.DUMMYFUNCTION("GOOGLETRANSLATE(I146,""en"",""az"")"),"Bağlayıcı waw :: Say - qadınlıq tək")</f>
        <v>Bağlayıcı waw :: Say - qadınlıq tək</v>
      </c>
      <c r="K146" s="5" t="str">
        <f>IFERROR(__xludf.DUMMYFUNCTION("GOOGLETRANSLATE(H146,""en"",""az"")"),"və səkkiz")</f>
        <v>və səkkiz</v>
      </c>
    </row>
    <row r="147">
      <c r="A147" s="1" t="s">
        <v>9</v>
      </c>
      <c r="B147" s="1">
        <v>5.0</v>
      </c>
      <c r="C147" s="1">
        <v>13.0</v>
      </c>
      <c r="D147" s="1">
        <v>10.0</v>
      </c>
      <c r="E147" s="2" t="s">
        <v>209</v>
      </c>
      <c r="F147" s="3" t="s">
        <v>159</v>
      </c>
      <c r="G147" s="4">
        <v>3967.0</v>
      </c>
      <c r="H147" s="3" t="s">
        <v>160</v>
      </c>
      <c r="I147" s="3" t="s">
        <v>161</v>
      </c>
      <c r="J147" s="5" t="str">
        <f>IFERROR(__xludf.DUMMYFUNCTION("GOOGLETRANSLATE(I147,""en"",""az"")"),"Say - qadın cəm")</f>
        <v>Say - qadın cəm</v>
      </c>
      <c r="K147" s="5" t="str">
        <f>IFERROR(__xludf.DUMMYFUNCTION("GOOGLETRANSLATE(H147,""en"",""az"")"),"yüz")</f>
        <v>yüz</v>
      </c>
    </row>
    <row r="148">
      <c r="A148" s="1" t="s">
        <v>9</v>
      </c>
      <c r="B148" s="1">
        <v>5.0</v>
      </c>
      <c r="C148" s="1">
        <v>13.0</v>
      </c>
      <c r="D148" s="1">
        <v>11.0</v>
      </c>
      <c r="E148" s="2" t="s">
        <v>166</v>
      </c>
      <c r="F148" s="3" t="s">
        <v>167</v>
      </c>
      <c r="G148" s="4">
        <v>8141.0</v>
      </c>
      <c r="H148" s="3" t="s">
        <v>111</v>
      </c>
      <c r="I148" s="3" t="s">
        <v>112</v>
      </c>
      <c r="J148" s="5" t="str">
        <f>IFERROR(__xludf.DUMMYFUNCTION("GOOGLETRANSLATE(I148,""en"",""az"")"),"İsim - qadın cinsi tək")</f>
        <v>İsim - qadın cinsi tək</v>
      </c>
      <c r="K148" s="5" t="str">
        <f>IFERROR(__xludf.DUMMYFUNCTION("GOOGLETRANSLATE(H148,""en"",""az"")"),"illər")</f>
        <v>illər</v>
      </c>
    </row>
    <row r="149">
      <c r="A149" s="1" t="s">
        <v>9</v>
      </c>
      <c r="B149" s="1">
        <v>5.0</v>
      </c>
      <c r="C149" s="1">
        <v>13.0</v>
      </c>
      <c r="D149" s="1">
        <v>12.0</v>
      </c>
      <c r="E149" s="2" t="s">
        <v>113</v>
      </c>
      <c r="F149" s="3" t="s">
        <v>114</v>
      </c>
      <c r="G149" s="4">
        <v>3205.0</v>
      </c>
      <c r="H149" s="3" t="s">
        <v>184</v>
      </c>
      <c r="I149" s="3" t="s">
        <v>116</v>
      </c>
      <c r="J149" s="5" t="str">
        <f>IFERROR(__xludf.DUMMYFUNCTION("GOOGLETRANSLATE(I149,""en"",""az"")"),"Bağlayıcı waw :: Fe'l - Hifil - Ardıcıl natamam - üçüncü şəxs kişi formasında tək")</f>
        <v>Bağlayıcı waw :: Fe'l - Hifil - Ardıcıl natamam - üçüncü şəxs kişi formasında tək</v>
      </c>
      <c r="K149" s="5" t="str">
        <f>IFERROR(__xludf.DUMMYFUNCTION("GOOGLETRANSLATE(H149,""en"",""az"")"),"və o, doğdu")</f>
        <v>və o, doğdu</v>
      </c>
    </row>
    <row r="150">
      <c r="A150" s="1" t="s">
        <v>9</v>
      </c>
      <c r="B150" s="1">
        <v>5.0</v>
      </c>
      <c r="C150" s="1">
        <v>13.0</v>
      </c>
      <c r="D150" s="1">
        <v>13.0</v>
      </c>
      <c r="E150" s="2" t="s">
        <v>210</v>
      </c>
      <c r="F150" s="3" t="s">
        <v>211</v>
      </c>
      <c r="G150" s="4">
        <v>1121.0</v>
      </c>
      <c r="H150" s="3" t="s">
        <v>212</v>
      </c>
      <c r="I150" s="3" t="s">
        <v>37</v>
      </c>
      <c r="J150" s="5" t="str">
        <f>IFERROR(__xludf.DUMMYFUNCTION("GOOGLETRANSLATE(I150,""en"",""az"")"),"İsim - kişi cəm halı")</f>
        <v>İsim - kişi cəm halı</v>
      </c>
      <c r="K150" s="5" t="str">
        <f>IFERROR(__xludf.DUMMYFUNCTION("GOOGLETRANSLATE(H150,""en"",""az"")"),"oğullar")</f>
        <v>oğullar</v>
      </c>
    </row>
    <row r="151">
      <c r="A151" s="1" t="s">
        <v>9</v>
      </c>
      <c r="B151" s="1">
        <v>5.0</v>
      </c>
      <c r="C151" s="1">
        <v>13.0</v>
      </c>
      <c r="D151" s="1">
        <v>14.0</v>
      </c>
      <c r="E151" s="2" t="s">
        <v>213</v>
      </c>
      <c r="F151" s="3" t="s">
        <v>214</v>
      </c>
      <c r="G151" s="4">
        <v>1323.0</v>
      </c>
      <c r="H151" s="3" t="s">
        <v>215</v>
      </c>
      <c r="I151" s="3" t="s">
        <v>216</v>
      </c>
      <c r="J151" s="5" t="str">
        <f>IFERROR(__xludf.DUMMYFUNCTION("GOOGLETRANSLATE(I151,""en"",""az"")"),"Conjunctive waw :: Noun - qadın cəm")</f>
        <v>Conjunctive waw :: Noun - qadın cəm</v>
      </c>
      <c r="K151" s="5" t="str">
        <f>IFERROR(__xludf.DUMMYFUNCTION("GOOGLETRANSLATE(H151,""en"",""az"")"),"və qızları")</f>
        <v>və qızları</v>
      </c>
    </row>
    <row r="152">
      <c r="A152" s="1" t="s">
        <v>9</v>
      </c>
      <c r="B152" s="1">
        <v>5.0</v>
      </c>
      <c r="C152" s="1">
        <v>14.0</v>
      </c>
      <c r="D152" s="1">
        <v>1.0</v>
      </c>
      <c r="E152" s="2" t="s">
        <v>217</v>
      </c>
      <c r="F152" s="3" t="s">
        <v>135</v>
      </c>
      <c r="G152" s="4">
        <v>1961.0</v>
      </c>
      <c r="H152" s="3" t="s">
        <v>136</v>
      </c>
      <c r="I152" s="3" t="s">
        <v>137</v>
      </c>
      <c r="J152" s="5" t="str">
        <f>IFERROR(__xludf.DUMMYFUNCTION("GOOGLETRANSLATE(I152,""en"",""az"")"),"Bağlayıcı waw :: Feil - Qal - Ardıcıl natamam - üçüncü şəxs kişi formasında cəm")</f>
        <v>Bağlayıcı waw :: Feil - Qal - Ardıcıl natamam - üçüncü şəxs kişi formasında cəm</v>
      </c>
      <c r="K152" s="5" t="str">
        <f>IFERROR(__xludf.DUMMYFUNCTION("GOOGLETRANSLATE(H152,""en"",""az"")"),"Elə idilər də")</f>
        <v>Elə idilər də</v>
      </c>
    </row>
    <row r="153">
      <c r="A153" s="1" t="s">
        <v>9</v>
      </c>
      <c r="B153" s="1">
        <v>5.0</v>
      </c>
      <c r="C153" s="1">
        <v>14.0</v>
      </c>
      <c r="D153" s="1">
        <v>2.0</v>
      </c>
      <c r="E153" s="2" t="s">
        <v>138</v>
      </c>
      <c r="F153" s="3" t="s">
        <v>139</v>
      </c>
      <c r="G153" s="4">
        <v>3605.0</v>
      </c>
      <c r="H153" s="3" t="s">
        <v>140</v>
      </c>
      <c r="I153" s="3" t="s">
        <v>17</v>
      </c>
      <c r="J153" s="5" t="str">
        <f>IFERROR(__xludf.DUMMYFUNCTION("GOOGLETRANSLATE(I153,""en"",""az"")"),"İsim - kişi cinsində tək konstruksiya")</f>
        <v>İsim - kişi cinsində tək konstruksiya</v>
      </c>
      <c r="K153" s="5" t="str">
        <f>IFERROR(__xludf.DUMMYFUNCTION("GOOGLETRANSLATE(H153,""en"",""az"")"),"hamısı")</f>
        <v>hamısı</v>
      </c>
    </row>
    <row r="154">
      <c r="A154" s="1" t="s">
        <v>9</v>
      </c>
      <c r="B154" s="1">
        <v>5.0</v>
      </c>
      <c r="C154" s="1">
        <v>14.0</v>
      </c>
      <c r="D154" s="1">
        <v>3.0</v>
      </c>
      <c r="E154" s="2" t="s">
        <v>247</v>
      </c>
      <c r="F154" s="3" t="s">
        <v>142</v>
      </c>
      <c r="G154" s="4">
        <v>3117.0</v>
      </c>
      <c r="H154" s="3" t="s">
        <v>143</v>
      </c>
      <c r="I154" s="3" t="s">
        <v>144</v>
      </c>
      <c r="J154" s="5" t="str">
        <f>IFERROR(__xludf.DUMMYFUNCTION("GOOGLETRANSLATE(I154,""en"",""az"")"),"İsim - kişi cəm forması")</f>
        <v>İsim - kişi cəm forması</v>
      </c>
      <c r="K154" s="5" t="str">
        <f>IFERROR(__xludf.DUMMYFUNCTION("GOOGLETRANSLATE(H154,""en"",""az"")"),"günlər")</f>
        <v>günlər</v>
      </c>
    </row>
    <row r="155">
      <c r="A155" s="1" t="s">
        <v>9</v>
      </c>
      <c r="B155" s="1">
        <v>5.0</v>
      </c>
      <c r="C155" s="1">
        <v>14.0</v>
      </c>
      <c r="D155" s="1">
        <v>4.0</v>
      </c>
      <c r="E155" s="2" t="s">
        <v>242</v>
      </c>
      <c r="F155" s="3" t="s">
        <v>243</v>
      </c>
      <c r="G155" s="4">
        <v>7018.0</v>
      </c>
      <c r="H155" s="3" t="s">
        <v>266</v>
      </c>
      <c r="I155" s="3" t="s">
        <v>25</v>
      </c>
      <c r="J155" s="5" t="str">
        <f>IFERROR(__xludf.DUMMYFUNCTION("GOOGLETRANSLATE(I155,""en"",""az"")"),"İsim - xüsusi - kişi cinsində tək")</f>
        <v>İsim - xüsusi - kişi cinsində tək</v>
      </c>
      <c r="K155" s="5" t="str">
        <f>IFERROR(__xludf.DUMMYFUNCTION("GOOGLETRANSLATE(H155,""en"",""az"")"),"Qeynanlı")</f>
        <v>Qeynanlı</v>
      </c>
    </row>
    <row r="156">
      <c r="A156" s="1" t="s">
        <v>9</v>
      </c>
      <c r="B156" s="1">
        <v>5.0</v>
      </c>
      <c r="C156" s="1">
        <v>14.0</v>
      </c>
      <c r="D156" s="1">
        <v>5.0</v>
      </c>
      <c r="E156" s="2" t="s">
        <v>267</v>
      </c>
      <c r="F156" s="3" t="s">
        <v>268</v>
      </c>
      <c r="G156" s="4">
        <v>6235.0</v>
      </c>
      <c r="H156" s="3" t="s">
        <v>269</v>
      </c>
      <c r="I156" s="3" t="s">
        <v>178</v>
      </c>
      <c r="J156" s="5" t="str">
        <f>IFERROR(__xludf.DUMMYFUNCTION("GOOGLETRANSLATE(I156,""en"",""az"")"),"Say - qadın tək")</f>
        <v>Say - qadın tək</v>
      </c>
      <c r="K156" s="5" t="str">
        <f>IFERROR(__xludf.DUMMYFUNCTION("GOOGLETRANSLATE(H156,""en"",""az"")"),"on")</f>
        <v>on</v>
      </c>
    </row>
    <row r="157">
      <c r="A157" s="1" t="s">
        <v>9</v>
      </c>
      <c r="B157" s="1">
        <v>5.0</v>
      </c>
      <c r="C157" s="1">
        <v>14.0</v>
      </c>
      <c r="D157" s="1">
        <v>6.0</v>
      </c>
      <c r="E157" s="2" t="s">
        <v>203</v>
      </c>
      <c r="F157" s="3" t="s">
        <v>204</v>
      </c>
      <c r="G157" s="4">
        <v>8141.0</v>
      </c>
      <c r="H157" s="3" t="s">
        <v>111</v>
      </c>
      <c r="I157" s="3" t="s">
        <v>181</v>
      </c>
      <c r="J157" s="5" t="str">
        <f>IFERROR(__xludf.DUMMYFUNCTION("GOOGLETRANSLATE(I157,""en"",""az"")"),"İsim - qadın cəm")</f>
        <v>İsim - qadın cəm</v>
      </c>
      <c r="K157" s="5" t="str">
        <f>IFERROR(__xludf.DUMMYFUNCTION("GOOGLETRANSLATE(H157,""en"",""az"")"),"illər")</f>
        <v>illər</v>
      </c>
    </row>
    <row r="158">
      <c r="A158" s="1" t="s">
        <v>9</v>
      </c>
      <c r="B158" s="1">
        <v>5.0</v>
      </c>
      <c r="C158" s="1">
        <v>14.0</v>
      </c>
      <c r="D158" s="1">
        <v>7.0</v>
      </c>
      <c r="E158" s="2" t="s">
        <v>229</v>
      </c>
      <c r="F158" s="3" t="s">
        <v>230</v>
      </c>
      <c r="G158" s="4">
        <v>8672.0</v>
      </c>
      <c r="H158" s="3" t="s">
        <v>231</v>
      </c>
      <c r="I158" s="3" t="s">
        <v>108</v>
      </c>
      <c r="J158" s="5" t="str">
        <f>IFERROR(__xludf.DUMMYFUNCTION("GOOGLETRANSLATE(I158,""en"",""az"")"),"Konyunktiv waw :: Say - qadınlıq tək konstruksiyası")</f>
        <v>Konyunktiv waw :: Say - qadınlıq tək konstruksiyası</v>
      </c>
      <c r="K158" s="5" t="str">
        <f>IFERROR(__xludf.DUMMYFUNCTION("GOOGLETRANSLATE(H158,""en"",""az"")"),"və doqquz")</f>
        <v>və doqquz</v>
      </c>
    </row>
    <row r="159">
      <c r="A159" s="1" t="s">
        <v>9</v>
      </c>
      <c r="B159" s="1">
        <v>5.0</v>
      </c>
      <c r="C159" s="1">
        <v>14.0</v>
      </c>
      <c r="D159" s="1">
        <v>8.0</v>
      </c>
      <c r="E159" s="2" t="s">
        <v>209</v>
      </c>
      <c r="F159" s="3" t="s">
        <v>159</v>
      </c>
      <c r="G159" s="4">
        <v>3967.0</v>
      </c>
      <c r="H159" s="3" t="s">
        <v>160</v>
      </c>
      <c r="I159" s="3" t="s">
        <v>161</v>
      </c>
      <c r="J159" s="5" t="str">
        <f>IFERROR(__xludf.DUMMYFUNCTION("GOOGLETRANSLATE(I159,""en"",""az"")"),"Say - qadın cəm")</f>
        <v>Say - qadın cəm</v>
      </c>
      <c r="K159" s="5" t="str">
        <f>IFERROR(__xludf.DUMMYFUNCTION("GOOGLETRANSLATE(H159,""en"",""az"")"),"yüz")</f>
        <v>yüz</v>
      </c>
    </row>
    <row r="160">
      <c r="A160" s="1" t="s">
        <v>9</v>
      </c>
      <c r="B160" s="1">
        <v>5.0</v>
      </c>
      <c r="C160" s="1">
        <v>14.0</v>
      </c>
      <c r="D160" s="1">
        <v>9.0</v>
      </c>
      <c r="E160" s="2" t="s">
        <v>166</v>
      </c>
      <c r="F160" s="3" t="s">
        <v>167</v>
      </c>
      <c r="G160" s="4">
        <v>8141.0</v>
      </c>
      <c r="H160" s="3" t="s">
        <v>111</v>
      </c>
      <c r="I160" s="3" t="s">
        <v>112</v>
      </c>
      <c r="J160" s="5" t="str">
        <f>IFERROR(__xludf.DUMMYFUNCTION("GOOGLETRANSLATE(I160,""en"",""az"")"),"İsim - qadın cinsi tək")</f>
        <v>İsim - qadın cinsi tək</v>
      </c>
      <c r="K160" s="5" t="str">
        <f>IFERROR(__xludf.DUMMYFUNCTION("GOOGLETRANSLATE(H160,""en"",""az"")"),"illər")</f>
        <v>illər</v>
      </c>
    </row>
    <row r="161">
      <c r="A161" s="1" t="s">
        <v>9</v>
      </c>
      <c r="B161" s="1">
        <v>5.0</v>
      </c>
      <c r="C161" s="1">
        <v>14.0</v>
      </c>
      <c r="D161" s="1">
        <v>10.0</v>
      </c>
      <c r="E161" s="2" t="s">
        <v>168</v>
      </c>
      <c r="F161" s="3" t="s">
        <v>169</v>
      </c>
      <c r="G161" s="4">
        <v>4191.0</v>
      </c>
      <c r="H161" s="3" t="s">
        <v>170</v>
      </c>
      <c r="I161" s="3" t="s">
        <v>78</v>
      </c>
      <c r="J161" s="5" t="str">
        <f>IFERROR(__xludf.DUMMYFUNCTION("GOOGLETRANSLATE(I161,""en"",""az"")"),"Bağlayıcı waw :: Feil - Qal - Ardıcıl natamam - üçüncü şəxs kişi halında tək")</f>
        <v>Bağlayıcı waw :: Feil - Qal - Ardıcıl natamam - üçüncü şəxs kişi halında tək</v>
      </c>
      <c r="K161" s="5" t="str">
        <f>IFERROR(__xludf.DUMMYFUNCTION("GOOGLETRANSLATE(H161,""en"",""az"")"),"və o öldü")</f>
        <v>və o öldü</v>
      </c>
    </row>
    <row r="162">
      <c r="A162" s="1" t="s">
        <v>9</v>
      </c>
      <c r="B162" s="1">
        <v>5.0</v>
      </c>
      <c r="C162" s="1">
        <v>14.0</v>
      </c>
      <c r="D162" s="1">
        <v>11.0</v>
      </c>
      <c r="E162" s="2" t="s">
        <v>93</v>
      </c>
      <c r="F162" s="3" t="s">
        <v>94</v>
      </c>
      <c r="G162" s="6"/>
      <c r="H162" s="3" t="s">
        <v>81</v>
      </c>
      <c r="I162" s="3" t="s">
        <v>95</v>
      </c>
      <c r="J162" s="5" t="str">
        <f>IFERROR(__xludf.DUMMYFUNCTION("GOOGLETRANSLATE(I162,""en"",""az"")"),"Durğu işarələri")</f>
        <v>Durğu işarələri</v>
      </c>
      <c r="K162" s="5" t="str">
        <f>IFERROR(__xludf.DUMMYFUNCTION("GOOGLETRANSLATE(H162,""en"",""az"")"),"-")</f>
        <v>-</v>
      </c>
    </row>
    <row r="163">
      <c r="A163" s="1" t="s">
        <v>9</v>
      </c>
      <c r="B163" s="1">
        <v>5.0</v>
      </c>
      <c r="C163" s="1">
        <v>15.0</v>
      </c>
      <c r="D163" s="1">
        <v>1.0</v>
      </c>
      <c r="E163" s="2" t="s">
        <v>96</v>
      </c>
      <c r="F163" s="3" t="s">
        <v>97</v>
      </c>
      <c r="G163" s="4">
        <v>2421.0</v>
      </c>
      <c r="H163" s="3" t="s">
        <v>98</v>
      </c>
      <c r="I163" s="3" t="s">
        <v>78</v>
      </c>
      <c r="J163" s="5" t="str">
        <f>IFERROR(__xludf.DUMMYFUNCTION("GOOGLETRANSLATE(I163,""en"",""az"")"),"Bağlayıcı waw :: Feil - Qal - Ardıcıl natamam - üçüncü şəxs kişi halında tək")</f>
        <v>Bağlayıcı waw :: Feil - Qal - Ardıcıl natamam - üçüncü şəxs kişi halında tək</v>
      </c>
      <c r="K163" s="5" t="str">
        <f>IFERROR(__xludf.DUMMYFUNCTION("GOOGLETRANSLATE(H163,""en"",""az"")"),"Və yaşadı")</f>
        <v>Və yaşadı</v>
      </c>
    </row>
    <row r="164">
      <c r="A164" s="1" t="s">
        <v>9</v>
      </c>
      <c r="B164" s="1">
        <v>5.0</v>
      </c>
      <c r="C164" s="1">
        <v>15.0</v>
      </c>
      <c r="D164" s="1">
        <v>2.0</v>
      </c>
      <c r="E164" s="2" t="s">
        <v>261</v>
      </c>
      <c r="F164" s="3" t="s">
        <v>262</v>
      </c>
      <c r="G164" s="4">
        <v>4111.0</v>
      </c>
      <c r="H164" s="3" t="s">
        <v>257</v>
      </c>
      <c r="I164" s="3" t="s">
        <v>25</v>
      </c>
      <c r="J164" s="5" t="str">
        <f>IFERROR(__xludf.DUMMYFUNCTION("GOOGLETRANSLATE(I164,""en"",""az"")"),"İsim - xüsusi - kişi cinsində tək")</f>
        <v>İsim - xüsusi - kişi cinsində tək</v>
      </c>
      <c r="K164" s="5" t="str">
        <f>IFERROR(__xludf.DUMMYFUNCTION("GOOGLETRANSLATE(H164,""en"",""az"")"),"Mahalalel")</f>
        <v>Mahalalel</v>
      </c>
    </row>
    <row r="165">
      <c r="A165" s="1" t="s">
        <v>9</v>
      </c>
      <c r="B165" s="1">
        <v>5.0</v>
      </c>
      <c r="C165" s="1">
        <v>15.0</v>
      </c>
      <c r="D165" s="1">
        <v>3.0</v>
      </c>
      <c r="E165" s="2" t="s">
        <v>175</v>
      </c>
      <c r="F165" s="3" t="s">
        <v>176</v>
      </c>
      <c r="G165" s="4">
        <v>2568.0</v>
      </c>
      <c r="H165" s="3" t="s">
        <v>177</v>
      </c>
      <c r="I165" s="3" t="s">
        <v>178</v>
      </c>
      <c r="J165" s="5" t="str">
        <f>IFERROR(__xludf.DUMMYFUNCTION("GOOGLETRANSLATE(I165,""en"",""az"")"),"Say - qadın tək")</f>
        <v>Say - qadın tək</v>
      </c>
      <c r="K165" s="5" t="str">
        <f>IFERROR(__xludf.DUMMYFUNCTION("GOOGLETRANSLATE(H165,""en"",""az"")"),"beş")</f>
        <v>beş</v>
      </c>
    </row>
    <row r="166">
      <c r="A166" s="1" t="s">
        <v>9</v>
      </c>
      <c r="B166" s="1">
        <v>5.0</v>
      </c>
      <c r="C166" s="1">
        <v>15.0</v>
      </c>
      <c r="D166" s="1">
        <v>4.0</v>
      </c>
      <c r="E166" s="2" t="s">
        <v>179</v>
      </c>
      <c r="F166" s="3" t="s">
        <v>180</v>
      </c>
      <c r="G166" s="4">
        <v>8141.0</v>
      </c>
      <c r="H166" s="3" t="s">
        <v>111</v>
      </c>
      <c r="I166" s="3" t="s">
        <v>181</v>
      </c>
      <c r="J166" s="5" t="str">
        <f>IFERROR(__xludf.DUMMYFUNCTION("GOOGLETRANSLATE(I166,""en"",""az"")"),"İsim - qadın cəm")</f>
        <v>İsim - qadın cəm</v>
      </c>
      <c r="K166" s="5" t="str">
        <f>IFERROR(__xludf.DUMMYFUNCTION("GOOGLETRANSLATE(H166,""en"",""az"")"),"illər")</f>
        <v>illər</v>
      </c>
    </row>
    <row r="167">
      <c r="A167" s="1" t="s">
        <v>9</v>
      </c>
      <c r="B167" s="1">
        <v>5.0</v>
      </c>
      <c r="C167" s="1">
        <v>15.0</v>
      </c>
      <c r="D167" s="1">
        <v>5.0</v>
      </c>
      <c r="E167" s="2" t="s">
        <v>270</v>
      </c>
      <c r="F167" s="3" t="s">
        <v>271</v>
      </c>
      <c r="G167" s="4">
        <v>8346.0</v>
      </c>
      <c r="H167" s="3" t="s">
        <v>272</v>
      </c>
      <c r="I167" s="3" t="s">
        <v>165</v>
      </c>
      <c r="J167" s="5" t="str">
        <f>IFERROR(__xludf.DUMMYFUNCTION("GOOGLETRANSLATE(I167,""en"",""az"")"),"Bağlayıcı waw :: Say - ümumi cəm")</f>
        <v>Bağlayıcı waw :: Say - ümumi cəm</v>
      </c>
      <c r="K167" s="5" t="str">
        <f>IFERROR(__xludf.DUMMYFUNCTION("GOOGLETRANSLATE(H167,""en"",""az"")"),"və altmış")</f>
        <v>və altmış</v>
      </c>
    </row>
    <row r="168">
      <c r="A168" s="1" t="s">
        <v>9</v>
      </c>
      <c r="B168" s="1">
        <v>5.0</v>
      </c>
      <c r="C168" s="1">
        <v>15.0</v>
      </c>
      <c r="D168" s="1">
        <v>6.0</v>
      </c>
      <c r="E168" s="2" t="s">
        <v>166</v>
      </c>
      <c r="F168" s="3" t="s">
        <v>167</v>
      </c>
      <c r="G168" s="4">
        <v>8141.0</v>
      </c>
      <c r="H168" s="3" t="s">
        <v>111</v>
      </c>
      <c r="I168" s="3" t="s">
        <v>112</v>
      </c>
      <c r="J168" s="5" t="str">
        <f>IFERROR(__xludf.DUMMYFUNCTION("GOOGLETRANSLATE(I168,""en"",""az"")"),"İsim - qadın cinsi tək")</f>
        <v>İsim - qadın cinsi tək</v>
      </c>
      <c r="K168" s="5" t="str">
        <f>IFERROR(__xludf.DUMMYFUNCTION("GOOGLETRANSLATE(H168,""en"",""az"")"),"illər")</f>
        <v>illər</v>
      </c>
    </row>
    <row r="169">
      <c r="A169" s="1" t="s">
        <v>9</v>
      </c>
      <c r="B169" s="1">
        <v>5.0</v>
      </c>
      <c r="C169" s="1">
        <v>15.0</v>
      </c>
      <c r="D169" s="1">
        <v>7.0</v>
      </c>
      <c r="E169" s="2" t="s">
        <v>183</v>
      </c>
      <c r="F169" s="3" t="s">
        <v>114</v>
      </c>
      <c r="G169" s="4">
        <v>3205.0</v>
      </c>
      <c r="H169" s="3" t="s">
        <v>184</v>
      </c>
      <c r="I169" s="3" t="s">
        <v>116</v>
      </c>
      <c r="J169" s="5" t="str">
        <f>IFERROR(__xludf.DUMMYFUNCTION("GOOGLETRANSLATE(I169,""en"",""az"")"),"Bağlayıcı waw :: Fe'l - Hifil - Ardıcıl natamam - üçüncü şəxs kişi formasında tək")</f>
        <v>Bağlayıcı waw :: Fe'l - Hifil - Ardıcıl natamam - üçüncü şəxs kişi formasında tək</v>
      </c>
      <c r="K169" s="5" t="str">
        <f>IFERROR(__xludf.DUMMYFUNCTION("GOOGLETRANSLATE(H169,""en"",""az"")"),"və o, doğdu")</f>
        <v>və o, doğdu</v>
      </c>
    </row>
    <row r="170">
      <c r="A170" s="1" t="s">
        <v>9</v>
      </c>
      <c r="B170" s="1">
        <v>5.0</v>
      </c>
      <c r="C170" s="1">
        <v>15.0</v>
      </c>
      <c r="D170" s="1">
        <v>8.0</v>
      </c>
      <c r="E170" s="2" t="s">
        <v>79</v>
      </c>
      <c r="F170" s="3" t="s">
        <v>80</v>
      </c>
      <c r="G170" s="4">
        <v>853.0</v>
      </c>
      <c r="H170" s="3" t="s">
        <v>81</v>
      </c>
      <c r="I170" s="3" t="s">
        <v>82</v>
      </c>
      <c r="J170" s="5" t="str">
        <f>IFERROR(__xludf.DUMMYFUNCTION("GOOGLETRANSLATE(I170,""en"",""az"")"),"Birbaşa obyekt marker")</f>
        <v>Birbaşa obyekt marker</v>
      </c>
      <c r="K170" s="5" t="str">
        <f>IFERROR(__xludf.DUMMYFUNCTION("GOOGLETRANSLATE(H170,""en"",""az"")"),"-")</f>
        <v>-</v>
      </c>
    </row>
    <row r="171">
      <c r="A171" s="1" t="s">
        <v>9</v>
      </c>
      <c r="B171" s="1">
        <v>5.0</v>
      </c>
      <c r="C171" s="1">
        <v>15.0</v>
      </c>
      <c r="D171" s="1">
        <v>9.0</v>
      </c>
      <c r="E171" s="2" t="s">
        <v>273</v>
      </c>
      <c r="F171" s="3" t="s">
        <v>274</v>
      </c>
      <c r="G171" s="4">
        <v>3382.0</v>
      </c>
      <c r="H171" s="3" t="s">
        <v>275</v>
      </c>
      <c r="I171" s="3" t="s">
        <v>25</v>
      </c>
      <c r="J171" s="5" t="str">
        <f>IFERROR(__xludf.DUMMYFUNCTION("GOOGLETRANSLATE(I171,""en"",""az"")"),"İsim - xüsusi - kişi cinsində tək")</f>
        <v>İsim - xüsusi - kişi cinsində tək</v>
      </c>
      <c r="K171" s="5" t="str">
        <f>IFERROR(__xludf.DUMMYFUNCTION("GOOGLETRANSLATE(H171,""en"",""az"")"),"Cared")</f>
        <v>Cared</v>
      </c>
    </row>
    <row r="172">
      <c r="A172" s="1" t="s">
        <v>9</v>
      </c>
      <c r="B172" s="1">
        <v>5.0</v>
      </c>
      <c r="C172" s="1">
        <v>16.0</v>
      </c>
      <c r="D172" s="1">
        <v>1.0</v>
      </c>
      <c r="E172" s="2" t="s">
        <v>96</v>
      </c>
      <c r="F172" s="3" t="s">
        <v>97</v>
      </c>
      <c r="G172" s="4">
        <v>2421.0</v>
      </c>
      <c r="H172" s="3" t="s">
        <v>98</v>
      </c>
      <c r="I172" s="3" t="s">
        <v>78</v>
      </c>
      <c r="J172" s="5" t="str">
        <f>IFERROR(__xludf.DUMMYFUNCTION("GOOGLETRANSLATE(I172,""en"",""az"")"),"Bağlayıcı waw :: Feil - Qal - Ardıcıl natamam - üçüncü şəxs kişi halında tək")</f>
        <v>Bağlayıcı waw :: Feil - Qal - Ardıcıl natamam - üçüncü şəxs kişi halında tək</v>
      </c>
      <c r="K172" s="5" t="str">
        <f>IFERROR(__xludf.DUMMYFUNCTION("GOOGLETRANSLATE(H172,""en"",""az"")"),"Və yaşadı")</f>
        <v>Və yaşadı</v>
      </c>
    </row>
    <row r="173">
      <c r="A173" s="1" t="s">
        <v>9</v>
      </c>
      <c r="B173" s="1">
        <v>5.0</v>
      </c>
      <c r="C173" s="1">
        <v>16.0</v>
      </c>
      <c r="D173" s="1">
        <v>2.0</v>
      </c>
      <c r="E173" s="2" t="s">
        <v>276</v>
      </c>
      <c r="F173" s="3" t="s">
        <v>262</v>
      </c>
      <c r="G173" s="4">
        <v>4111.0</v>
      </c>
      <c r="H173" s="3" t="s">
        <v>257</v>
      </c>
      <c r="I173" s="3" t="s">
        <v>25</v>
      </c>
      <c r="J173" s="5" t="str">
        <f>IFERROR(__xludf.DUMMYFUNCTION("GOOGLETRANSLATE(I173,""en"",""az"")"),"İsim - xüsusi - kişi cinsində tək")</f>
        <v>İsim - xüsusi - kişi cinsində tək</v>
      </c>
      <c r="K173" s="5" t="str">
        <f>IFERROR(__xludf.DUMMYFUNCTION("GOOGLETRANSLATE(H173,""en"",""az"")"),"Mahalalel")</f>
        <v>Mahalalel</v>
      </c>
    </row>
    <row r="174">
      <c r="A174" s="1" t="s">
        <v>9</v>
      </c>
      <c r="B174" s="1">
        <v>5.0</v>
      </c>
      <c r="C174" s="1">
        <v>16.0</v>
      </c>
      <c r="D174" s="1">
        <v>3.0</v>
      </c>
      <c r="E174" s="2" t="s">
        <v>190</v>
      </c>
      <c r="F174" s="3" t="s">
        <v>191</v>
      </c>
      <c r="G174" s="4">
        <v>310.0</v>
      </c>
      <c r="H174" s="3" t="s">
        <v>192</v>
      </c>
      <c r="I174" s="3" t="s">
        <v>193</v>
      </c>
      <c r="J174" s="5" t="str">
        <f>IFERROR(__xludf.DUMMYFUNCTION("GOOGLETRANSLATE(I174,""en"",""az"")"),"Sözönü")</f>
        <v>Sözönü</v>
      </c>
      <c r="K174" s="5" t="str">
        <f>IFERROR(__xludf.DUMMYFUNCTION("GOOGLETRANSLATE(H174,""en"",""az"")"),"sonra")</f>
        <v>sonra</v>
      </c>
    </row>
    <row r="175">
      <c r="A175" s="1" t="s">
        <v>9</v>
      </c>
      <c r="B175" s="1">
        <v>5.0</v>
      </c>
      <c r="C175" s="1">
        <v>16.0</v>
      </c>
      <c r="D175" s="1">
        <v>4.0</v>
      </c>
      <c r="E175" s="2" t="s">
        <v>194</v>
      </c>
      <c r="F175" s="3" t="s">
        <v>195</v>
      </c>
      <c r="G175" s="4">
        <v>3205.0</v>
      </c>
      <c r="H175" s="3" t="s">
        <v>196</v>
      </c>
      <c r="I175" s="3" t="s">
        <v>197</v>
      </c>
      <c r="J175" s="5" t="str">
        <f>IFERROR(__xludf.DUMMYFUNCTION("GOOGLETRANSLATE(I175,""en"",""az"")"),"Fe'l - Hifil - Məsdər konstruksiyası :: üçüncü şəxs kişi formasında tək")</f>
        <v>Fe'l - Hifil - Məsdər konstruksiyası :: üçüncü şəxs kişi formasında tək</v>
      </c>
      <c r="K175" s="5" t="str">
        <f>IFERROR(__xludf.DUMMYFUNCTION("GOOGLETRANSLATE(H175,""en"",""az"")"),"o doğdu")</f>
        <v>o doğdu</v>
      </c>
    </row>
    <row r="176">
      <c r="A176" s="1" t="s">
        <v>9</v>
      </c>
      <c r="B176" s="1">
        <v>5.0</v>
      </c>
      <c r="C176" s="1">
        <v>16.0</v>
      </c>
      <c r="D176" s="1">
        <v>5.0</v>
      </c>
      <c r="E176" s="2" t="s">
        <v>79</v>
      </c>
      <c r="F176" s="3" t="s">
        <v>80</v>
      </c>
      <c r="G176" s="4">
        <v>853.0</v>
      </c>
      <c r="H176" s="3" t="s">
        <v>81</v>
      </c>
      <c r="I176" s="3" t="s">
        <v>82</v>
      </c>
      <c r="J176" s="5" t="str">
        <f>IFERROR(__xludf.DUMMYFUNCTION("GOOGLETRANSLATE(I176,""en"",""az"")"),"Birbaşa obyekt marker")</f>
        <v>Birbaşa obyekt marker</v>
      </c>
      <c r="K176" s="5" t="str">
        <f>IFERROR(__xludf.DUMMYFUNCTION("GOOGLETRANSLATE(H176,""en"",""az"")"),"-")</f>
        <v>-</v>
      </c>
    </row>
    <row r="177">
      <c r="A177" s="1" t="s">
        <v>9</v>
      </c>
      <c r="B177" s="1">
        <v>5.0</v>
      </c>
      <c r="C177" s="1">
        <v>16.0</v>
      </c>
      <c r="D177" s="1">
        <v>6.0</v>
      </c>
      <c r="E177" s="2" t="s">
        <v>277</v>
      </c>
      <c r="F177" s="3" t="s">
        <v>278</v>
      </c>
      <c r="G177" s="4">
        <v>3382.0</v>
      </c>
      <c r="H177" s="3" t="s">
        <v>275</v>
      </c>
      <c r="I177" s="3" t="s">
        <v>25</v>
      </c>
      <c r="J177" s="5" t="str">
        <f>IFERROR(__xludf.DUMMYFUNCTION("GOOGLETRANSLATE(I177,""en"",""az"")"),"İsim - xüsusi - kişi cinsində tək")</f>
        <v>İsim - xüsusi - kişi cinsində tək</v>
      </c>
      <c r="K177" s="5" t="str">
        <f>IFERROR(__xludf.DUMMYFUNCTION("GOOGLETRANSLATE(H177,""en"",""az"")"),"Cared")</f>
        <v>Cared</v>
      </c>
    </row>
    <row r="178">
      <c r="A178" s="1" t="s">
        <v>9</v>
      </c>
      <c r="B178" s="1">
        <v>5.0</v>
      </c>
      <c r="C178" s="1">
        <v>16.0</v>
      </c>
      <c r="D178" s="1">
        <v>7.0</v>
      </c>
      <c r="E178" s="2" t="s">
        <v>279</v>
      </c>
      <c r="F178" s="3" t="s">
        <v>102</v>
      </c>
      <c r="G178" s="4">
        <v>7970.0</v>
      </c>
      <c r="H178" s="3" t="s">
        <v>103</v>
      </c>
      <c r="I178" s="3" t="s">
        <v>104</v>
      </c>
      <c r="J178" s="5" t="str">
        <f>IFERROR(__xludf.DUMMYFUNCTION("GOOGLETRANSLATE(I178,""en"",""az"")"),"Say - ümumi cəm")</f>
        <v>Say - ümumi cəm</v>
      </c>
      <c r="K178" s="5" t="str">
        <f>IFERROR(__xludf.DUMMYFUNCTION("GOOGLETRANSLATE(H178,""en"",""az"")"),"otuz")</f>
        <v>otuz</v>
      </c>
    </row>
    <row r="179">
      <c r="A179" s="1" t="s">
        <v>9</v>
      </c>
      <c r="B179" s="1">
        <v>5.0</v>
      </c>
      <c r="C179" s="1">
        <v>16.0</v>
      </c>
      <c r="D179" s="1">
        <v>8.0</v>
      </c>
      <c r="E179" s="2" t="s">
        <v>109</v>
      </c>
      <c r="F179" s="3" t="s">
        <v>110</v>
      </c>
      <c r="G179" s="4">
        <v>8141.0</v>
      </c>
      <c r="H179" s="3" t="s">
        <v>111</v>
      </c>
      <c r="I179" s="3" t="s">
        <v>112</v>
      </c>
      <c r="J179" s="5" t="str">
        <f>IFERROR(__xludf.DUMMYFUNCTION("GOOGLETRANSLATE(I179,""en"",""az"")"),"İsim - qadın cinsi tək")</f>
        <v>İsim - qadın cinsi tək</v>
      </c>
      <c r="K179" s="5" t="str">
        <f>IFERROR(__xludf.DUMMYFUNCTION("GOOGLETRANSLATE(H179,""en"",""az"")"),"illər")</f>
        <v>illər</v>
      </c>
    </row>
    <row r="180">
      <c r="A180" s="1" t="s">
        <v>9</v>
      </c>
      <c r="B180" s="1">
        <v>5.0</v>
      </c>
      <c r="C180" s="1">
        <v>16.0</v>
      </c>
      <c r="D180" s="1">
        <v>9.0</v>
      </c>
      <c r="E180" s="2" t="s">
        <v>205</v>
      </c>
      <c r="F180" s="3" t="s">
        <v>206</v>
      </c>
      <c r="G180" s="4">
        <v>8083.0</v>
      </c>
      <c r="H180" s="3" t="s">
        <v>207</v>
      </c>
      <c r="I180" s="3" t="s">
        <v>208</v>
      </c>
      <c r="J180" s="5" t="str">
        <f>IFERROR(__xludf.DUMMYFUNCTION("GOOGLETRANSLATE(I180,""en"",""az"")"),"Bağlayıcı waw :: Say - qadınlıq tək")</f>
        <v>Bağlayıcı waw :: Say - qadınlıq tək</v>
      </c>
      <c r="K180" s="5" t="str">
        <f>IFERROR(__xludf.DUMMYFUNCTION("GOOGLETRANSLATE(H180,""en"",""az"")"),"və səkkiz")</f>
        <v>və səkkiz</v>
      </c>
    </row>
    <row r="181">
      <c r="A181" s="1" t="s">
        <v>9</v>
      </c>
      <c r="B181" s="1">
        <v>5.0</v>
      </c>
      <c r="C181" s="1">
        <v>16.0</v>
      </c>
      <c r="D181" s="1">
        <v>10.0</v>
      </c>
      <c r="E181" s="2" t="s">
        <v>209</v>
      </c>
      <c r="F181" s="3" t="s">
        <v>159</v>
      </c>
      <c r="G181" s="4">
        <v>3967.0</v>
      </c>
      <c r="H181" s="3" t="s">
        <v>160</v>
      </c>
      <c r="I181" s="3" t="s">
        <v>161</v>
      </c>
      <c r="J181" s="5" t="str">
        <f>IFERROR(__xludf.DUMMYFUNCTION("GOOGLETRANSLATE(I181,""en"",""az"")"),"Say - qadın cəm")</f>
        <v>Say - qadın cəm</v>
      </c>
      <c r="K181" s="5" t="str">
        <f>IFERROR(__xludf.DUMMYFUNCTION("GOOGLETRANSLATE(H181,""en"",""az"")"),"yüz")</f>
        <v>yüz</v>
      </c>
    </row>
    <row r="182">
      <c r="A182" s="1" t="s">
        <v>9</v>
      </c>
      <c r="B182" s="1">
        <v>5.0</v>
      </c>
      <c r="C182" s="1">
        <v>16.0</v>
      </c>
      <c r="D182" s="1">
        <v>11.0</v>
      </c>
      <c r="E182" s="2" t="s">
        <v>166</v>
      </c>
      <c r="F182" s="3" t="s">
        <v>167</v>
      </c>
      <c r="G182" s="4">
        <v>8141.0</v>
      </c>
      <c r="H182" s="3" t="s">
        <v>111</v>
      </c>
      <c r="I182" s="3" t="s">
        <v>112</v>
      </c>
      <c r="J182" s="5" t="str">
        <f>IFERROR(__xludf.DUMMYFUNCTION("GOOGLETRANSLATE(I182,""en"",""az"")"),"İsim - qadın cinsi tək")</f>
        <v>İsim - qadın cinsi tək</v>
      </c>
      <c r="K182" s="5" t="str">
        <f>IFERROR(__xludf.DUMMYFUNCTION("GOOGLETRANSLATE(H182,""en"",""az"")"),"illər")</f>
        <v>illər</v>
      </c>
    </row>
    <row r="183">
      <c r="A183" s="1" t="s">
        <v>9</v>
      </c>
      <c r="B183" s="1">
        <v>5.0</v>
      </c>
      <c r="C183" s="1">
        <v>16.0</v>
      </c>
      <c r="D183" s="1">
        <v>12.0</v>
      </c>
      <c r="E183" s="2" t="s">
        <v>113</v>
      </c>
      <c r="F183" s="3" t="s">
        <v>114</v>
      </c>
      <c r="G183" s="4">
        <v>3205.0</v>
      </c>
      <c r="H183" s="3" t="s">
        <v>184</v>
      </c>
      <c r="I183" s="3" t="s">
        <v>116</v>
      </c>
      <c r="J183" s="5" t="str">
        <f>IFERROR(__xludf.DUMMYFUNCTION("GOOGLETRANSLATE(I183,""en"",""az"")"),"Bağlayıcı waw :: Fe'l - Hifil - Ardıcıl natamam - üçüncü şəxs kişi formasında tək")</f>
        <v>Bağlayıcı waw :: Fe'l - Hifil - Ardıcıl natamam - üçüncü şəxs kişi formasında tək</v>
      </c>
      <c r="K183" s="5" t="str">
        <f>IFERROR(__xludf.DUMMYFUNCTION("GOOGLETRANSLATE(H183,""en"",""az"")"),"və o, doğdu")</f>
        <v>və o, doğdu</v>
      </c>
    </row>
    <row r="184">
      <c r="A184" s="1" t="s">
        <v>9</v>
      </c>
      <c r="B184" s="1">
        <v>5.0</v>
      </c>
      <c r="C184" s="1">
        <v>16.0</v>
      </c>
      <c r="D184" s="1">
        <v>13.0</v>
      </c>
      <c r="E184" s="2" t="s">
        <v>210</v>
      </c>
      <c r="F184" s="3" t="s">
        <v>211</v>
      </c>
      <c r="G184" s="4">
        <v>1121.0</v>
      </c>
      <c r="H184" s="3" t="s">
        <v>212</v>
      </c>
      <c r="I184" s="3" t="s">
        <v>37</v>
      </c>
      <c r="J184" s="5" t="str">
        <f>IFERROR(__xludf.DUMMYFUNCTION("GOOGLETRANSLATE(I184,""en"",""az"")"),"İsim - kişi cəm halı")</f>
        <v>İsim - kişi cəm halı</v>
      </c>
      <c r="K184" s="5" t="str">
        <f>IFERROR(__xludf.DUMMYFUNCTION("GOOGLETRANSLATE(H184,""en"",""az"")"),"oğullar")</f>
        <v>oğullar</v>
      </c>
    </row>
    <row r="185">
      <c r="A185" s="1" t="s">
        <v>9</v>
      </c>
      <c r="B185" s="1">
        <v>5.0</v>
      </c>
      <c r="C185" s="1">
        <v>16.0</v>
      </c>
      <c r="D185" s="1">
        <v>14.0</v>
      </c>
      <c r="E185" s="2" t="s">
        <v>213</v>
      </c>
      <c r="F185" s="3" t="s">
        <v>214</v>
      </c>
      <c r="G185" s="4">
        <v>1323.0</v>
      </c>
      <c r="H185" s="3" t="s">
        <v>215</v>
      </c>
      <c r="I185" s="3" t="s">
        <v>216</v>
      </c>
      <c r="J185" s="5" t="str">
        <f>IFERROR(__xludf.DUMMYFUNCTION("GOOGLETRANSLATE(I185,""en"",""az"")"),"Conjunctive waw :: Noun - qadın cəm")</f>
        <v>Conjunctive waw :: Noun - qadın cəm</v>
      </c>
      <c r="K185" s="5" t="str">
        <f>IFERROR(__xludf.DUMMYFUNCTION("GOOGLETRANSLATE(H185,""en"",""az"")"),"və qızları")</f>
        <v>və qızları</v>
      </c>
    </row>
    <row r="186">
      <c r="A186" s="1" t="s">
        <v>9</v>
      </c>
      <c r="B186" s="1">
        <v>5.0</v>
      </c>
      <c r="C186" s="1">
        <v>17.0</v>
      </c>
      <c r="D186" s="1">
        <v>1.0</v>
      </c>
      <c r="E186" s="2" t="s">
        <v>280</v>
      </c>
      <c r="F186" s="3" t="s">
        <v>135</v>
      </c>
      <c r="G186" s="4">
        <v>1961.0</v>
      </c>
      <c r="H186" s="3" t="s">
        <v>136</v>
      </c>
      <c r="I186" s="3" t="s">
        <v>137</v>
      </c>
      <c r="J186" s="5" t="str">
        <f>IFERROR(__xludf.DUMMYFUNCTION("GOOGLETRANSLATE(I186,""en"",""az"")"),"Bağlayıcı waw :: Feil - Qal - Ardıcıl natamam - üçüncü şəxs kişi formasında cəm")</f>
        <v>Bağlayıcı waw :: Feil - Qal - Ardıcıl natamam - üçüncü şəxs kişi formasında cəm</v>
      </c>
      <c r="K186" s="5" t="str">
        <f>IFERROR(__xludf.DUMMYFUNCTION("GOOGLETRANSLATE(H186,""en"",""az"")"),"Elə idilər də")</f>
        <v>Elə idilər də</v>
      </c>
    </row>
    <row r="187">
      <c r="A187" s="1" t="s">
        <v>9</v>
      </c>
      <c r="B187" s="1">
        <v>5.0</v>
      </c>
      <c r="C187" s="1">
        <v>17.0</v>
      </c>
      <c r="D187" s="1">
        <v>2.0</v>
      </c>
      <c r="E187" s="2" t="s">
        <v>138</v>
      </c>
      <c r="F187" s="3" t="s">
        <v>139</v>
      </c>
      <c r="G187" s="4">
        <v>3605.0</v>
      </c>
      <c r="H187" s="3" t="s">
        <v>140</v>
      </c>
      <c r="I187" s="3" t="s">
        <v>17</v>
      </c>
      <c r="J187" s="5" t="str">
        <f>IFERROR(__xludf.DUMMYFUNCTION("GOOGLETRANSLATE(I187,""en"",""az"")"),"İsim - kişi cinsində tək konstruksiya")</f>
        <v>İsim - kişi cinsində tək konstruksiya</v>
      </c>
      <c r="K187" s="5" t="str">
        <f>IFERROR(__xludf.DUMMYFUNCTION("GOOGLETRANSLATE(H187,""en"",""az"")"),"hamısı")</f>
        <v>hamısı</v>
      </c>
    </row>
    <row r="188">
      <c r="A188" s="1" t="s">
        <v>9</v>
      </c>
      <c r="B188" s="1">
        <v>5.0</v>
      </c>
      <c r="C188" s="1">
        <v>17.0</v>
      </c>
      <c r="D188" s="1">
        <v>3.0</v>
      </c>
      <c r="E188" s="2" t="s">
        <v>247</v>
      </c>
      <c r="F188" s="3" t="s">
        <v>142</v>
      </c>
      <c r="G188" s="4">
        <v>3117.0</v>
      </c>
      <c r="H188" s="3" t="s">
        <v>143</v>
      </c>
      <c r="I188" s="3" t="s">
        <v>144</v>
      </c>
      <c r="J188" s="5" t="str">
        <f>IFERROR(__xludf.DUMMYFUNCTION("GOOGLETRANSLATE(I188,""en"",""az"")"),"İsim - kişi cəm forması")</f>
        <v>İsim - kişi cəm forması</v>
      </c>
      <c r="K188" s="5" t="str">
        <f>IFERROR(__xludf.DUMMYFUNCTION("GOOGLETRANSLATE(H188,""en"",""az"")"),"günlər")</f>
        <v>günlər</v>
      </c>
    </row>
    <row r="189">
      <c r="A189" s="1" t="s">
        <v>9</v>
      </c>
      <c r="B189" s="1">
        <v>5.0</v>
      </c>
      <c r="C189" s="1">
        <v>17.0</v>
      </c>
      <c r="D189" s="1">
        <v>4.0</v>
      </c>
      <c r="E189" s="2" t="s">
        <v>281</v>
      </c>
      <c r="F189" s="3" t="s">
        <v>262</v>
      </c>
      <c r="G189" s="4">
        <v>4111.0</v>
      </c>
      <c r="H189" s="3" t="s">
        <v>282</v>
      </c>
      <c r="I189" s="3" t="s">
        <v>25</v>
      </c>
      <c r="J189" s="5" t="str">
        <f>IFERROR(__xludf.DUMMYFUNCTION("GOOGLETRANSLATE(I189,""en"",""az"")"),"İsim - xüsusi - kişi cinsində tək")</f>
        <v>İsim - xüsusi - kişi cinsində tək</v>
      </c>
      <c r="K189" s="5" t="str">
        <f>IFERROR(__xludf.DUMMYFUNCTION("GOOGLETRANSLATE(H189,""en"",""az"")"),"Mahalalelin")</f>
        <v>Mahalalelin</v>
      </c>
    </row>
    <row r="190">
      <c r="A190" s="1" t="s">
        <v>9</v>
      </c>
      <c r="B190" s="1">
        <v>5.0</v>
      </c>
      <c r="C190" s="1">
        <v>17.0</v>
      </c>
      <c r="D190" s="1">
        <v>5.0</v>
      </c>
      <c r="E190" s="2" t="s">
        <v>283</v>
      </c>
      <c r="F190" s="3" t="s">
        <v>176</v>
      </c>
      <c r="G190" s="4">
        <v>2568.0</v>
      </c>
      <c r="H190" s="3" t="s">
        <v>177</v>
      </c>
      <c r="I190" s="3" t="s">
        <v>178</v>
      </c>
      <c r="J190" s="5" t="str">
        <f>IFERROR(__xludf.DUMMYFUNCTION("GOOGLETRANSLATE(I190,""en"",""az"")"),"Say - qadın tək")</f>
        <v>Say - qadın tək</v>
      </c>
      <c r="K190" s="5" t="str">
        <f>IFERROR(__xludf.DUMMYFUNCTION("GOOGLETRANSLATE(H190,""en"",""az"")"),"beş")</f>
        <v>beş</v>
      </c>
    </row>
    <row r="191">
      <c r="A191" s="1" t="s">
        <v>9</v>
      </c>
      <c r="B191" s="1">
        <v>5.0</v>
      </c>
      <c r="C191" s="1">
        <v>17.0</v>
      </c>
      <c r="D191" s="1">
        <v>6.0</v>
      </c>
      <c r="E191" s="2" t="s">
        <v>284</v>
      </c>
      <c r="F191" s="3" t="s">
        <v>285</v>
      </c>
      <c r="G191" s="4">
        <v>8673.0</v>
      </c>
      <c r="H191" s="3" t="s">
        <v>286</v>
      </c>
      <c r="I191" s="3" t="s">
        <v>165</v>
      </c>
      <c r="J191" s="5" t="str">
        <f>IFERROR(__xludf.DUMMYFUNCTION("GOOGLETRANSLATE(I191,""en"",""az"")"),"Bağlayıcı waw :: Say - ümumi cəm")</f>
        <v>Bağlayıcı waw :: Say - ümumi cəm</v>
      </c>
      <c r="K191" s="5" t="str">
        <f>IFERROR(__xludf.DUMMYFUNCTION("GOOGLETRANSLATE(H191,""en"",""az"")"),"və doxsan")</f>
        <v>və doxsan</v>
      </c>
    </row>
    <row r="192">
      <c r="A192" s="1" t="s">
        <v>9</v>
      </c>
      <c r="B192" s="1">
        <v>5.0</v>
      </c>
      <c r="C192" s="1">
        <v>17.0</v>
      </c>
      <c r="D192" s="1">
        <v>7.0</v>
      </c>
      <c r="E192" s="2" t="s">
        <v>109</v>
      </c>
      <c r="F192" s="3" t="s">
        <v>110</v>
      </c>
      <c r="G192" s="4">
        <v>8141.0</v>
      </c>
      <c r="H192" s="3" t="s">
        <v>111</v>
      </c>
      <c r="I192" s="3" t="s">
        <v>112</v>
      </c>
      <c r="J192" s="5" t="str">
        <f>IFERROR(__xludf.DUMMYFUNCTION("GOOGLETRANSLATE(I192,""en"",""az"")"),"İsim - qadın cinsi tək")</f>
        <v>İsim - qadın cinsi tək</v>
      </c>
      <c r="K192" s="5" t="str">
        <f>IFERROR(__xludf.DUMMYFUNCTION("GOOGLETRANSLATE(H192,""en"",""az"")"),"illər")</f>
        <v>illər</v>
      </c>
    </row>
    <row r="193">
      <c r="A193" s="1" t="s">
        <v>9</v>
      </c>
      <c r="B193" s="1">
        <v>5.0</v>
      </c>
      <c r="C193" s="1">
        <v>17.0</v>
      </c>
      <c r="D193" s="1">
        <v>8.0</v>
      </c>
      <c r="E193" s="2" t="s">
        <v>205</v>
      </c>
      <c r="F193" s="3" t="s">
        <v>206</v>
      </c>
      <c r="G193" s="4">
        <v>8083.0</v>
      </c>
      <c r="H193" s="3" t="s">
        <v>207</v>
      </c>
      <c r="I193" s="3" t="s">
        <v>208</v>
      </c>
      <c r="J193" s="5" t="str">
        <f>IFERROR(__xludf.DUMMYFUNCTION("GOOGLETRANSLATE(I193,""en"",""az"")"),"Bağlayıcı waw :: Say - qadınlıq tək")</f>
        <v>Bağlayıcı waw :: Say - qadınlıq tək</v>
      </c>
      <c r="K193" s="5" t="str">
        <f>IFERROR(__xludf.DUMMYFUNCTION("GOOGLETRANSLATE(H193,""en"",""az"")"),"və səkkiz")</f>
        <v>və səkkiz</v>
      </c>
    </row>
    <row r="194">
      <c r="A194" s="1" t="s">
        <v>9</v>
      </c>
      <c r="B194" s="1">
        <v>5.0</v>
      </c>
      <c r="C194" s="1">
        <v>17.0</v>
      </c>
      <c r="D194" s="1">
        <v>9.0</v>
      </c>
      <c r="E194" s="2" t="s">
        <v>209</v>
      </c>
      <c r="F194" s="3" t="s">
        <v>159</v>
      </c>
      <c r="G194" s="4">
        <v>3967.0</v>
      </c>
      <c r="H194" s="3" t="s">
        <v>160</v>
      </c>
      <c r="I194" s="3" t="s">
        <v>161</v>
      </c>
      <c r="J194" s="5" t="str">
        <f>IFERROR(__xludf.DUMMYFUNCTION("GOOGLETRANSLATE(I194,""en"",""az"")"),"Say - qadın cəm")</f>
        <v>Say - qadın cəm</v>
      </c>
      <c r="K194" s="5" t="str">
        <f>IFERROR(__xludf.DUMMYFUNCTION("GOOGLETRANSLATE(H194,""en"",""az"")"),"yüz")</f>
        <v>yüz</v>
      </c>
    </row>
    <row r="195">
      <c r="A195" s="1" t="s">
        <v>9</v>
      </c>
      <c r="B195" s="1">
        <v>5.0</v>
      </c>
      <c r="C195" s="1">
        <v>17.0</v>
      </c>
      <c r="D195" s="1">
        <v>10.0</v>
      </c>
      <c r="E195" s="2" t="s">
        <v>166</v>
      </c>
      <c r="F195" s="3" t="s">
        <v>167</v>
      </c>
      <c r="G195" s="4">
        <v>8141.0</v>
      </c>
      <c r="H195" s="3" t="s">
        <v>111</v>
      </c>
      <c r="I195" s="3" t="s">
        <v>112</v>
      </c>
      <c r="J195" s="5" t="str">
        <f>IFERROR(__xludf.DUMMYFUNCTION("GOOGLETRANSLATE(I195,""en"",""az"")"),"İsim - qadın cinsi tək")</f>
        <v>İsim - qadın cinsi tək</v>
      </c>
      <c r="K195" s="5" t="str">
        <f>IFERROR(__xludf.DUMMYFUNCTION("GOOGLETRANSLATE(H195,""en"",""az"")"),"illər")</f>
        <v>illər</v>
      </c>
    </row>
    <row r="196">
      <c r="A196" s="1" t="s">
        <v>9</v>
      </c>
      <c r="B196" s="1">
        <v>5.0</v>
      </c>
      <c r="C196" s="1">
        <v>17.0</v>
      </c>
      <c r="D196" s="1">
        <v>11.0</v>
      </c>
      <c r="E196" s="2" t="s">
        <v>168</v>
      </c>
      <c r="F196" s="3" t="s">
        <v>169</v>
      </c>
      <c r="G196" s="4">
        <v>4191.0</v>
      </c>
      <c r="H196" s="3" t="s">
        <v>170</v>
      </c>
      <c r="I196" s="3" t="s">
        <v>78</v>
      </c>
      <c r="J196" s="5" t="str">
        <f>IFERROR(__xludf.DUMMYFUNCTION("GOOGLETRANSLATE(I196,""en"",""az"")"),"Bağlayıcı waw :: Feil - Qal - Ardıcıl natamam - üçüncü şəxs kişi halında tək")</f>
        <v>Bağlayıcı waw :: Feil - Qal - Ardıcıl natamam - üçüncü şəxs kişi halında tək</v>
      </c>
      <c r="K196" s="5" t="str">
        <f>IFERROR(__xludf.DUMMYFUNCTION("GOOGLETRANSLATE(H196,""en"",""az"")"),"və o öldü")</f>
        <v>və o öldü</v>
      </c>
    </row>
    <row r="197">
      <c r="A197" s="1" t="s">
        <v>9</v>
      </c>
      <c r="B197" s="1">
        <v>5.0</v>
      </c>
      <c r="C197" s="1">
        <v>17.0</v>
      </c>
      <c r="D197" s="1">
        <v>12.0</v>
      </c>
      <c r="E197" s="2" t="s">
        <v>93</v>
      </c>
      <c r="F197" s="3" t="s">
        <v>94</v>
      </c>
      <c r="G197" s="6"/>
      <c r="H197" s="3" t="s">
        <v>81</v>
      </c>
      <c r="I197" s="3" t="s">
        <v>95</v>
      </c>
      <c r="J197" s="5" t="str">
        <f>IFERROR(__xludf.DUMMYFUNCTION("GOOGLETRANSLATE(I197,""en"",""az"")"),"Durğu işarələri")</f>
        <v>Durğu işarələri</v>
      </c>
      <c r="K197" s="5" t="str">
        <f>IFERROR(__xludf.DUMMYFUNCTION("GOOGLETRANSLATE(H197,""en"",""az"")"),"-")</f>
        <v>-</v>
      </c>
    </row>
    <row r="198">
      <c r="A198" s="1" t="s">
        <v>9</v>
      </c>
      <c r="B198" s="1">
        <v>5.0</v>
      </c>
      <c r="C198" s="1">
        <v>18.0</v>
      </c>
      <c r="D198" s="1">
        <v>1.0</v>
      </c>
      <c r="E198" s="2" t="s">
        <v>171</v>
      </c>
      <c r="F198" s="3" t="s">
        <v>172</v>
      </c>
      <c r="G198" s="4">
        <v>2421.0</v>
      </c>
      <c r="H198" s="3" t="s">
        <v>98</v>
      </c>
      <c r="I198" s="3" t="s">
        <v>78</v>
      </c>
      <c r="J198" s="5" t="str">
        <f>IFERROR(__xludf.DUMMYFUNCTION("GOOGLETRANSLATE(I198,""en"",""az"")"),"Bağlayıcı waw :: Feil - Qal - Ardıcıl natamam - üçüncü şəxs kişi halında tək")</f>
        <v>Bağlayıcı waw :: Feil - Qal - Ardıcıl natamam - üçüncü şəxs kişi halında tək</v>
      </c>
      <c r="K198" s="5" t="str">
        <f>IFERROR(__xludf.DUMMYFUNCTION("GOOGLETRANSLATE(H198,""en"",""az"")"),"Və yaşadı")</f>
        <v>Və yaşadı</v>
      </c>
    </row>
    <row r="199">
      <c r="A199" s="1" t="s">
        <v>9</v>
      </c>
      <c r="B199" s="1">
        <v>5.0</v>
      </c>
      <c r="C199" s="1">
        <v>18.0</v>
      </c>
      <c r="D199" s="1">
        <v>2.0</v>
      </c>
      <c r="E199" s="2" t="s">
        <v>287</v>
      </c>
      <c r="F199" s="3" t="s">
        <v>288</v>
      </c>
      <c r="G199" s="4">
        <v>3382.0</v>
      </c>
      <c r="H199" s="3" t="s">
        <v>275</v>
      </c>
      <c r="I199" s="3" t="s">
        <v>25</v>
      </c>
      <c r="J199" s="5" t="str">
        <f>IFERROR(__xludf.DUMMYFUNCTION("GOOGLETRANSLATE(I199,""en"",""az"")"),"İsim - xüsusi - kişi cinsində tək")</f>
        <v>İsim - xüsusi - kişi cinsində tək</v>
      </c>
      <c r="K199" s="5" t="str">
        <f>IFERROR(__xludf.DUMMYFUNCTION("GOOGLETRANSLATE(H199,""en"",""az"")"),"Cared")</f>
        <v>Cared</v>
      </c>
    </row>
    <row r="200">
      <c r="A200" s="1" t="s">
        <v>9</v>
      </c>
      <c r="B200" s="1">
        <v>5.0</v>
      </c>
      <c r="C200" s="1">
        <v>18.0</v>
      </c>
      <c r="D200" s="1">
        <v>3.0</v>
      </c>
      <c r="E200" s="2" t="s">
        <v>289</v>
      </c>
      <c r="F200" s="3" t="s">
        <v>290</v>
      </c>
      <c r="G200" s="4">
        <v>8147.0</v>
      </c>
      <c r="H200" s="3" t="s">
        <v>224</v>
      </c>
      <c r="I200" s="3" t="s">
        <v>225</v>
      </c>
      <c r="J200" s="5" t="str">
        <f>IFERROR(__xludf.DUMMYFUNCTION("GOOGLETRANSLATE(I200,""en"",""az"")"),"Nömrə - fd")</f>
        <v>Nömrə - fd</v>
      </c>
      <c r="K200" s="5" t="str">
        <f>IFERROR(__xludf.DUMMYFUNCTION("GOOGLETRANSLATE(H200,""en"",""az"")"),"iki")</f>
        <v>iki</v>
      </c>
    </row>
    <row r="201">
      <c r="A201" s="1" t="s">
        <v>9</v>
      </c>
      <c r="B201" s="1">
        <v>5.0</v>
      </c>
      <c r="C201" s="1">
        <v>18.0</v>
      </c>
      <c r="D201" s="1">
        <v>4.0</v>
      </c>
      <c r="E201" s="2" t="s">
        <v>291</v>
      </c>
      <c r="F201" s="3" t="s">
        <v>271</v>
      </c>
      <c r="G201" s="4">
        <v>8346.0</v>
      </c>
      <c r="H201" s="3" t="s">
        <v>272</v>
      </c>
      <c r="I201" s="3" t="s">
        <v>165</v>
      </c>
      <c r="J201" s="5" t="str">
        <f>IFERROR(__xludf.DUMMYFUNCTION("GOOGLETRANSLATE(I201,""en"",""az"")"),"Bağlayıcı waw :: Say - ümumi cəm")</f>
        <v>Bağlayıcı waw :: Say - ümumi cəm</v>
      </c>
      <c r="K201" s="5" t="str">
        <f>IFERROR(__xludf.DUMMYFUNCTION("GOOGLETRANSLATE(H201,""en"",""az"")"),"və altmış")</f>
        <v>və altmış</v>
      </c>
    </row>
    <row r="202">
      <c r="A202" s="1" t="s">
        <v>9</v>
      </c>
      <c r="B202" s="1">
        <v>5.0</v>
      </c>
      <c r="C202" s="1">
        <v>18.0</v>
      </c>
      <c r="D202" s="1">
        <v>5.0</v>
      </c>
      <c r="E202" s="2" t="s">
        <v>292</v>
      </c>
      <c r="F202" s="3" t="s">
        <v>293</v>
      </c>
      <c r="G202" s="4">
        <v>8141.0</v>
      </c>
      <c r="H202" s="3" t="s">
        <v>111</v>
      </c>
      <c r="I202" s="3" t="s">
        <v>112</v>
      </c>
      <c r="J202" s="5" t="str">
        <f>IFERROR(__xludf.DUMMYFUNCTION("GOOGLETRANSLATE(I202,""en"",""az"")"),"İsim - qadın cinsi tək")</f>
        <v>İsim - qadın cinsi tək</v>
      </c>
      <c r="K202" s="5" t="str">
        <f>IFERROR(__xludf.DUMMYFUNCTION("GOOGLETRANSLATE(H202,""en"",""az"")"),"illər")</f>
        <v>illər</v>
      </c>
    </row>
    <row r="203">
      <c r="A203" s="1" t="s">
        <v>9</v>
      </c>
      <c r="B203" s="1">
        <v>5.0</v>
      </c>
      <c r="C203" s="1">
        <v>18.0</v>
      </c>
      <c r="D203" s="1">
        <v>6.0</v>
      </c>
      <c r="E203" s="2" t="s">
        <v>182</v>
      </c>
      <c r="F203" s="3" t="s">
        <v>106</v>
      </c>
      <c r="G203" s="4">
        <v>3967.0</v>
      </c>
      <c r="H203" s="3" t="s">
        <v>107</v>
      </c>
      <c r="I203" s="3" t="s">
        <v>108</v>
      </c>
      <c r="J203" s="5" t="str">
        <f>IFERROR(__xludf.DUMMYFUNCTION("GOOGLETRANSLATE(I203,""en"",""az"")"),"Konyunktiv waw :: Say - qadınlıq tək konstruksiyası")</f>
        <v>Konyunktiv waw :: Say - qadınlıq tək konstruksiyası</v>
      </c>
      <c r="K203" s="5" t="str">
        <f>IFERROR(__xludf.DUMMYFUNCTION("GOOGLETRANSLATE(H203,""en"",""az"")"),"və yüz")</f>
        <v>və yüz</v>
      </c>
    </row>
    <row r="204">
      <c r="A204" s="1" t="s">
        <v>9</v>
      </c>
      <c r="B204" s="1">
        <v>5.0</v>
      </c>
      <c r="C204" s="1">
        <v>18.0</v>
      </c>
      <c r="D204" s="1">
        <v>7.0</v>
      </c>
      <c r="E204" s="2" t="s">
        <v>166</v>
      </c>
      <c r="F204" s="3" t="s">
        <v>167</v>
      </c>
      <c r="G204" s="4">
        <v>8141.0</v>
      </c>
      <c r="H204" s="3" t="s">
        <v>111</v>
      </c>
      <c r="I204" s="3" t="s">
        <v>112</v>
      </c>
      <c r="J204" s="5" t="str">
        <f>IFERROR(__xludf.DUMMYFUNCTION("GOOGLETRANSLATE(I204,""en"",""az"")"),"İsim - qadın cinsi tək")</f>
        <v>İsim - qadın cinsi tək</v>
      </c>
      <c r="K204" s="5" t="str">
        <f>IFERROR(__xludf.DUMMYFUNCTION("GOOGLETRANSLATE(H204,""en"",""az"")"),"illər")</f>
        <v>illər</v>
      </c>
    </row>
    <row r="205">
      <c r="A205" s="1" t="s">
        <v>9</v>
      </c>
      <c r="B205" s="1">
        <v>5.0</v>
      </c>
      <c r="C205" s="1">
        <v>18.0</v>
      </c>
      <c r="D205" s="1">
        <v>8.0</v>
      </c>
      <c r="E205" s="2" t="s">
        <v>183</v>
      </c>
      <c r="F205" s="3" t="s">
        <v>114</v>
      </c>
      <c r="G205" s="4">
        <v>3205.0</v>
      </c>
      <c r="H205" s="3" t="s">
        <v>184</v>
      </c>
      <c r="I205" s="3" t="s">
        <v>116</v>
      </c>
      <c r="J205" s="5" t="str">
        <f>IFERROR(__xludf.DUMMYFUNCTION("GOOGLETRANSLATE(I205,""en"",""az"")"),"Bağlayıcı waw :: Fe'l - Hifil - Ardıcıl natamam - üçüncü şəxs kişi formasında tək")</f>
        <v>Bağlayıcı waw :: Fe'l - Hifil - Ardıcıl natamam - üçüncü şəxs kişi formasında tək</v>
      </c>
      <c r="K205" s="5" t="str">
        <f>IFERROR(__xludf.DUMMYFUNCTION("GOOGLETRANSLATE(H205,""en"",""az"")"),"və o, doğdu")</f>
        <v>və o, doğdu</v>
      </c>
    </row>
    <row r="206">
      <c r="A206" s="1" t="s">
        <v>9</v>
      </c>
      <c r="B206" s="1">
        <v>5.0</v>
      </c>
      <c r="C206" s="1">
        <v>18.0</v>
      </c>
      <c r="D206" s="1">
        <v>9.0</v>
      </c>
      <c r="E206" s="2" t="s">
        <v>79</v>
      </c>
      <c r="F206" s="3" t="s">
        <v>80</v>
      </c>
      <c r="G206" s="4">
        <v>853.0</v>
      </c>
      <c r="H206" s="3" t="s">
        <v>81</v>
      </c>
      <c r="I206" s="3" t="s">
        <v>82</v>
      </c>
      <c r="J206" s="5" t="str">
        <f>IFERROR(__xludf.DUMMYFUNCTION("GOOGLETRANSLATE(I206,""en"",""az"")"),"Birbaşa obyekt marker")</f>
        <v>Birbaşa obyekt marker</v>
      </c>
      <c r="K206" s="5" t="str">
        <f>IFERROR(__xludf.DUMMYFUNCTION("GOOGLETRANSLATE(H206,""en"",""az"")"),"-")</f>
        <v>-</v>
      </c>
    </row>
    <row r="207">
      <c r="A207" s="1" t="s">
        <v>9</v>
      </c>
      <c r="B207" s="1">
        <v>5.0</v>
      </c>
      <c r="C207" s="1">
        <v>18.0</v>
      </c>
      <c r="D207" s="1">
        <v>10.0</v>
      </c>
      <c r="E207" s="2" t="s">
        <v>294</v>
      </c>
      <c r="F207" s="3" t="s">
        <v>295</v>
      </c>
      <c r="G207" s="4">
        <v>2585.0</v>
      </c>
      <c r="H207" s="3" t="s">
        <v>296</v>
      </c>
      <c r="I207" s="3" t="s">
        <v>25</v>
      </c>
      <c r="J207" s="5" t="str">
        <f>IFERROR(__xludf.DUMMYFUNCTION("GOOGLETRANSLATE(I207,""en"",""az"")"),"İsim - xüsusi - kişi cinsində tək")</f>
        <v>İsim - xüsusi - kişi cinsində tək</v>
      </c>
      <c r="K207" s="5" t="str">
        <f>IFERROR(__xludf.DUMMYFUNCTION("GOOGLETRANSLATE(H207,""en"",""az"")"),"Enok")</f>
        <v>Enok</v>
      </c>
    </row>
    <row r="208">
      <c r="A208" s="1" t="s">
        <v>9</v>
      </c>
      <c r="B208" s="1">
        <v>5.0</v>
      </c>
      <c r="C208" s="1">
        <v>19.0</v>
      </c>
      <c r="D208" s="1">
        <v>1.0</v>
      </c>
      <c r="E208" s="2" t="s">
        <v>171</v>
      </c>
      <c r="F208" s="3" t="s">
        <v>172</v>
      </c>
      <c r="G208" s="4">
        <v>2421.0</v>
      </c>
      <c r="H208" s="3" t="s">
        <v>98</v>
      </c>
      <c r="I208" s="3" t="s">
        <v>78</v>
      </c>
      <c r="J208" s="5" t="str">
        <f>IFERROR(__xludf.DUMMYFUNCTION("GOOGLETRANSLATE(I208,""en"",""az"")"),"Bağlayıcı waw :: Feil - Qal - Ardıcıl natamam - üçüncü şəxs kişi halında tək")</f>
        <v>Bağlayıcı waw :: Feil - Qal - Ardıcıl natamam - üçüncü şəxs kişi halında tək</v>
      </c>
      <c r="K208" s="5" t="str">
        <f>IFERROR(__xludf.DUMMYFUNCTION("GOOGLETRANSLATE(H208,""en"",""az"")"),"Və yaşadı")</f>
        <v>Və yaşadı</v>
      </c>
    </row>
    <row r="209">
      <c r="A209" s="1" t="s">
        <v>9</v>
      </c>
      <c r="B209" s="1">
        <v>5.0</v>
      </c>
      <c r="C209" s="1">
        <v>19.0</v>
      </c>
      <c r="D209" s="1">
        <v>2.0</v>
      </c>
      <c r="E209" s="2" t="s">
        <v>297</v>
      </c>
      <c r="F209" s="3" t="s">
        <v>278</v>
      </c>
      <c r="G209" s="4">
        <v>3382.0</v>
      </c>
      <c r="H209" s="3" t="s">
        <v>275</v>
      </c>
      <c r="I209" s="3" t="s">
        <v>25</v>
      </c>
      <c r="J209" s="5" t="str">
        <f>IFERROR(__xludf.DUMMYFUNCTION("GOOGLETRANSLATE(I209,""en"",""az"")"),"İsim - xüsusi - kişi cinsində tək")</f>
        <v>İsim - xüsusi - kişi cinsində tək</v>
      </c>
      <c r="K209" s="5" t="str">
        <f>IFERROR(__xludf.DUMMYFUNCTION("GOOGLETRANSLATE(H209,""en"",""az"")"),"Cared")</f>
        <v>Cared</v>
      </c>
    </row>
    <row r="210">
      <c r="A210" s="1" t="s">
        <v>9</v>
      </c>
      <c r="B210" s="1">
        <v>5.0</v>
      </c>
      <c r="C210" s="1">
        <v>19.0</v>
      </c>
      <c r="D210" s="1">
        <v>3.0</v>
      </c>
      <c r="E210" s="2" t="s">
        <v>190</v>
      </c>
      <c r="F210" s="3" t="s">
        <v>191</v>
      </c>
      <c r="G210" s="4">
        <v>310.0</v>
      </c>
      <c r="H210" s="3" t="s">
        <v>192</v>
      </c>
      <c r="I210" s="3" t="s">
        <v>193</v>
      </c>
      <c r="J210" s="5" t="str">
        <f>IFERROR(__xludf.DUMMYFUNCTION("GOOGLETRANSLATE(I210,""en"",""az"")"),"Sözönü")</f>
        <v>Sözönü</v>
      </c>
      <c r="K210" s="5" t="str">
        <f>IFERROR(__xludf.DUMMYFUNCTION("GOOGLETRANSLATE(H210,""en"",""az"")"),"sonra")</f>
        <v>sonra</v>
      </c>
    </row>
    <row r="211">
      <c r="A211" s="1" t="s">
        <v>9</v>
      </c>
      <c r="B211" s="1">
        <v>5.0</v>
      </c>
      <c r="C211" s="1">
        <v>19.0</v>
      </c>
      <c r="D211" s="1">
        <v>4.0</v>
      </c>
      <c r="E211" s="2" t="s">
        <v>194</v>
      </c>
      <c r="F211" s="3" t="s">
        <v>195</v>
      </c>
      <c r="G211" s="4">
        <v>3205.0</v>
      </c>
      <c r="H211" s="3" t="s">
        <v>196</v>
      </c>
      <c r="I211" s="3" t="s">
        <v>197</v>
      </c>
      <c r="J211" s="5" t="str">
        <f>IFERROR(__xludf.DUMMYFUNCTION("GOOGLETRANSLATE(I211,""en"",""az"")"),"Fe'l - Hifil - Məsdər konstruksiyası :: üçüncü şəxs kişi formasında tək")</f>
        <v>Fe'l - Hifil - Məsdər konstruksiyası :: üçüncü şəxs kişi formasında tək</v>
      </c>
      <c r="K211" s="5" t="str">
        <f>IFERROR(__xludf.DUMMYFUNCTION("GOOGLETRANSLATE(H211,""en"",""az"")"),"o doğdu")</f>
        <v>o doğdu</v>
      </c>
    </row>
    <row r="212">
      <c r="A212" s="1" t="s">
        <v>9</v>
      </c>
      <c r="B212" s="1">
        <v>5.0</v>
      </c>
      <c r="C212" s="1">
        <v>19.0</v>
      </c>
      <c r="D212" s="1">
        <v>5.0</v>
      </c>
      <c r="E212" s="2" t="s">
        <v>79</v>
      </c>
      <c r="F212" s="3" t="s">
        <v>80</v>
      </c>
      <c r="G212" s="4">
        <v>853.0</v>
      </c>
      <c r="H212" s="3" t="s">
        <v>81</v>
      </c>
      <c r="I212" s="3" t="s">
        <v>82</v>
      </c>
      <c r="J212" s="5" t="str">
        <f>IFERROR(__xludf.DUMMYFUNCTION("GOOGLETRANSLATE(I212,""en"",""az"")"),"Birbaşa obyekt marker")</f>
        <v>Birbaşa obyekt marker</v>
      </c>
      <c r="K212" s="5" t="str">
        <f>IFERROR(__xludf.DUMMYFUNCTION("GOOGLETRANSLATE(H212,""en"",""az"")"),"-")</f>
        <v>-</v>
      </c>
    </row>
    <row r="213">
      <c r="A213" s="1" t="s">
        <v>9</v>
      </c>
      <c r="B213" s="1">
        <v>5.0</v>
      </c>
      <c r="C213" s="1">
        <v>19.0</v>
      </c>
      <c r="D213" s="1">
        <v>6.0</v>
      </c>
      <c r="E213" s="2" t="s">
        <v>298</v>
      </c>
      <c r="F213" s="3" t="s">
        <v>299</v>
      </c>
      <c r="G213" s="4">
        <v>2585.0</v>
      </c>
      <c r="H213" s="3" t="s">
        <v>296</v>
      </c>
      <c r="I213" s="3" t="s">
        <v>25</v>
      </c>
      <c r="J213" s="5" t="str">
        <f>IFERROR(__xludf.DUMMYFUNCTION("GOOGLETRANSLATE(I213,""en"",""az"")"),"İsim - xüsusi - kişi cinsində tək")</f>
        <v>İsim - xüsusi - kişi cinsində tək</v>
      </c>
      <c r="K213" s="5" t="str">
        <f>IFERROR(__xludf.DUMMYFUNCTION("GOOGLETRANSLATE(H213,""en"",""az"")"),"Enok")</f>
        <v>Enok</v>
      </c>
    </row>
    <row r="214">
      <c r="A214" s="1" t="s">
        <v>9</v>
      </c>
      <c r="B214" s="1">
        <v>5.0</v>
      </c>
      <c r="C214" s="1">
        <v>19.0</v>
      </c>
      <c r="D214" s="1">
        <v>7.0</v>
      </c>
      <c r="E214" s="2" t="s">
        <v>300</v>
      </c>
      <c r="F214" s="3" t="s">
        <v>301</v>
      </c>
      <c r="G214" s="4">
        <v>8083.0</v>
      </c>
      <c r="H214" s="3" t="s">
        <v>302</v>
      </c>
      <c r="I214" s="3" t="s">
        <v>178</v>
      </c>
      <c r="J214" s="5" t="str">
        <f>IFERROR(__xludf.DUMMYFUNCTION("GOOGLETRANSLATE(I214,""en"",""az"")"),"Say - qadın tək")</f>
        <v>Say - qadın tək</v>
      </c>
      <c r="K214" s="5" t="str">
        <f>IFERROR(__xludf.DUMMYFUNCTION("GOOGLETRANSLATE(H214,""en"",""az"")"),"səkkiz")</f>
        <v>səkkiz</v>
      </c>
    </row>
    <row r="215">
      <c r="A215" s="1" t="s">
        <v>9</v>
      </c>
      <c r="B215" s="1">
        <v>5.0</v>
      </c>
      <c r="C215" s="1">
        <v>19.0</v>
      </c>
      <c r="D215" s="1">
        <v>8.0</v>
      </c>
      <c r="E215" s="2" t="s">
        <v>209</v>
      </c>
      <c r="F215" s="3" t="s">
        <v>159</v>
      </c>
      <c r="G215" s="4">
        <v>3967.0</v>
      </c>
      <c r="H215" s="3" t="s">
        <v>160</v>
      </c>
      <c r="I215" s="3" t="s">
        <v>161</v>
      </c>
      <c r="J215" s="5" t="str">
        <f>IFERROR(__xludf.DUMMYFUNCTION("GOOGLETRANSLATE(I215,""en"",""az"")"),"Say - qadın cəm")</f>
        <v>Say - qadın cəm</v>
      </c>
      <c r="K215" s="5" t="str">
        <f>IFERROR(__xludf.DUMMYFUNCTION("GOOGLETRANSLATE(H215,""en"",""az"")"),"yüz")</f>
        <v>yüz</v>
      </c>
    </row>
    <row r="216">
      <c r="A216" s="1" t="s">
        <v>9</v>
      </c>
      <c r="B216" s="1">
        <v>5.0</v>
      </c>
      <c r="C216" s="1">
        <v>19.0</v>
      </c>
      <c r="D216" s="1">
        <v>9.0</v>
      </c>
      <c r="E216" s="2" t="s">
        <v>166</v>
      </c>
      <c r="F216" s="3" t="s">
        <v>167</v>
      </c>
      <c r="G216" s="4">
        <v>8141.0</v>
      </c>
      <c r="H216" s="3" t="s">
        <v>111</v>
      </c>
      <c r="I216" s="3" t="s">
        <v>112</v>
      </c>
      <c r="J216" s="5" t="str">
        <f>IFERROR(__xludf.DUMMYFUNCTION("GOOGLETRANSLATE(I216,""en"",""az"")"),"İsim - qadın cinsi tək")</f>
        <v>İsim - qadın cinsi tək</v>
      </c>
      <c r="K216" s="5" t="str">
        <f>IFERROR(__xludf.DUMMYFUNCTION("GOOGLETRANSLATE(H216,""en"",""az"")"),"illər")</f>
        <v>illər</v>
      </c>
    </row>
    <row r="217">
      <c r="A217" s="1" t="s">
        <v>9</v>
      </c>
      <c r="B217" s="1">
        <v>5.0</v>
      </c>
      <c r="C217" s="1">
        <v>19.0</v>
      </c>
      <c r="D217" s="1">
        <v>10.0</v>
      </c>
      <c r="E217" s="2" t="s">
        <v>113</v>
      </c>
      <c r="F217" s="3" t="s">
        <v>114</v>
      </c>
      <c r="G217" s="4">
        <v>3205.0</v>
      </c>
      <c r="H217" s="3" t="s">
        <v>184</v>
      </c>
      <c r="I217" s="3" t="s">
        <v>116</v>
      </c>
      <c r="J217" s="5" t="str">
        <f>IFERROR(__xludf.DUMMYFUNCTION("GOOGLETRANSLATE(I217,""en"",""az"")"),"Bağlayıcı waw :: Fe'l - Hifil - Ardıcıl natamam - üçüncü şəxs kişi formasında tək")</f>
        <v>Bağlayıcı waw :: Fe'l - Hifil - Ardıcıl natamam - üçüncü şəxs kişi formasında tək</v>
      </c>
      <c r="K217" s="5" t="str">
        <f>IFERROR(__xludf.DUMMYFUNCTION("GOOGLETRANSLATE(H217,""en"",""az"")"),"və o, doğdu")</f>
        <v>və o, doğdu</v>
      </c>
    </row>
    <row r="218">
      <c r="A218" s="1" t="s">
        <v>9</v>
      </c>
      <c r="B218" s="1">
        <v>5.0</v>
      </c>
      <c r="C218" s="1">
        <v>19.0</v>
      </c>
      <c r="D218" s="1">
        <v>11.0</v>
      </c>
      <c r="E218" s="2" t="s">
        <v>210</v>
      </c>
      <c r="F218" s="3" t="s">
        <v>211</v>
      </c>
      <c r="G218" s="4">
        <v>1121.0</v>
      </c>
      <c r="H218" s="3" t="s">
        <v>212</v>
      </c>
      <c r="I218" s="3" t="s">
        <v>37</v>
      </c>
      <c r="J218" s="5" t="str">
        <f>IFERROR(__xludf.DUMMYFUNCTION("GOOGLETRANSLATE(I218,""en"",""az"")"),"İsim - kişi cəm halı")</f>
        <v>İsim - kişi cəm halı</v>
      </c>
      <c r="K218" s="5" t="str">
        <f>IFERROR(__xludf.DUMMYFUNCTION("GOOGLETRANSLATE(H218,""en"",""az"")"),"oğullar")</f>
        <v>oğullar</v>
      </c>
    </row>
    <row r="219">
      <c r="A219" s="1" t="s">
        <v>9</v>
      </c>
      <c r="B219" s="1">
        <v>5.0</v>
      </c>
      <c r="C219" s="1">
        <v>19.0</v>
      </c>
      <c r="D219" s="1">
        <v>12.0</v>
      </c>
      <c r="E219" s="2" t="s">
        <v>213</v>
      </c>
      <c r="F219" s="3" t="s">
        <v>214</v>
      </c>
      <c r="G219" s="4">
        <v>1323.0</v>
      </c>
      <c r="H219" s="3" t="s">
        <v>215</v>
      </c>
      <c r="I219" s="3" t="s">
        <v>216</v>
      </c>
      <c r="J219" s="5" t="str">
        <f>IFERROR(__xludf.DUMMYFUNCTION("GOOGLETRANSLATE(I219,""en"",""az"")"),"Conjunctive waw :: Noun - qadın cəm")</f>
        <v>Conjunctive waw :: Noun - qadın cəm</v>
      </c>
      <c r="K219" s="5" t="str">
        <f>IFERROR(__xludf.DUMMYFUNCTION("GOOGLETRANSLATE(H219,""en"",""az"")"),"və qızları")</f>
        <v>və qızları</v>
      </c>
    </row>
    <row r="220">
      <c r="A220" s="1" t="s">
        <v>9</v>
      </c>
      <c r="B220" s="1">
        <v>5.0</v>
      </c>
      <c r="C220" s="1">
        <v>20.0</v>
      </c>
      <c r="D220" s="1">
        <v>1.0</v>
      </c>
      <c r="E220" s="2" t="s">
        <v>217</v>
      </c>
      <c r="F220" s="3" t="s">
        <v>135</v>
      </c>
      <c r="G220" s="4">
        <v>1961.0</v>
      </c>
      <c r="H220" s="3" t="s">
        <v>136</v>
      </c>
      <c r="I220" s="3" t="s">
        <v>137</v>
      </c>
      <c r="J220" s="5" t="str">
        <f>IFERROR(__xludf.DUMMYFUNCTION("GOOGLETRANSLATE(I220,""en"",""az"")"),"Bağlayıcı waw :: Feil - Qal - Ardıcıl natamam - üçüncü şəxs kişi formasında cəm")</f>
        <v>Bağlayıcı waw :: Feil - Qal - Ardıcıl natamam - üçüncü şəxs kişi formasında cəm</v>
      </c>
      <c r="K220" s="5" t="str">
        <f>IFERROR(__xludf.DUMMYFUNCTION("GOOGLETRANSLATE(H220,""en"",""az"")"),"Elə idilər də")</f>
        <v>Elə idilər də</v>
      </c>
    </row>
    <row r="221">
      <c r="A221" s="1" t="s">
        <v>9</v>
      </c>
      <c r="B221" s="1">
        <v>5.0</v>
      </c>
      <c r="C221" s="1">
        <v>20.0</v>
      </c>
      <c r="D221" s="1">
        <v>2.0</v>
      </c>
      <c r="E221" s="2" t="s">
        <v>138</v>
      </c>
      <c r="F221" s="3" t="s">
        <v>139</v>
      </c>
      <c r="G221" s="4">
        <v>3605.0</v>
      </c>
      <c r="H221" s="3" t="s">
        <v>140</v>
      </c>
      <c r="I221" s="3" t="s">
        <v>17</v>
      </c>
      <c r="J221" s="5" t="str">
        <f>IFERROR(__xludf.DUMMYFUNCTION("GOOGLETRANSLATE(I221,""en"",""az"")"),"İsim - kişi cinsində tək konstruksiya")</f>
        <v>İsim - kişi cinsində tək konstruksiya</v>
      </c>
      <c r="K221" s="5" t="str">
        <f>IFERROR(__xludf.DUMMYFUNCTION("GOOGLETRANSLATE(H221,""en"",""az"")"),"hamısı")</f>
        <v>hamısı</v>
      </c>
    </row>
    <row r="222">
      <c r="A222" s="1" t="s">
        <v>9</v>
      </c>
      <c r="B222" s="1">
        <v>5.0</v>
      </c>
      <c r="C222" s="1">
        <v>20.0</v>
      </c>
      <c r="D222" s="1">
        <v>3.0</v>
      </c>
      <c r="E222" s="2" t="s">
        <v>218</v>
      </c>
      <c r="F222" s="3" t="s">
        <v>219</v>
      </c>
      <c r="G222" s="4">
        <v>3117.0</v>
      </c>
      <c r="H222" s="3" t="s">
        <v>143</v>
      </c>
      <c r="I222" s="3" t="s">
        <v>144</v>
      </c>
      <c r="J222" s="5" t="str">
        <f>IFERROR(__xludf.DUMMYFUNCTION("GOOGLETRANSLATE(I222,""en"",""az"")"),"İsim - kişi cəm forması")</f>
        <v>İsim - kişi cəm forması</v>
      </c>
      <c r="K222" s="5" t="str">
        <f>IFERROR(__xludf.DUMMYFUNCTION("GOOGLETRANSLATE(H222,""en"",""az"")"),"günlər")</f>
        <v>günlər</v>
      </c>
    </row>
    <row r="223">
      <c r="A223" s="1" t="s">
        <v>9</v>
      </c>
      <c r="B223" s="1">
        <v>5.0</v>
      </c>
      <c r="C223" s="1">
        <v>20.0</v>
      </c>
      <c r="D223" s="1">
        <v>4.0</v>
      </c>
      <c r="E223" s="2" t="s">
        <v>277</v>
      </c>
      <c r="F223" s="3" t="s">
        <v>278</v>
      </c>
      <c r="G223" s="4">
        <v>3382.0</v>
      </c>
      <c r="H223" s="3" t="s">
        <v>303</v>
      </c>
      <c r="I223" s="3" t="s">
        <v>25</v>
      </c>
      <c r="J223" s="5" t="str">
        <f>IFERROR(__xludf.DUMMYFUNCTION("GOOGLETRANSLATE(I223,""en"",""az"")"),"İsim - xüsusi - kişi cinsində tək")</f>
        <v>İsim - xüsusi - kişi cinsində tək</v>
      </c>
      <c r="K223" s="5" t="str">
        <f>IFERROR(__xludf.DUMMYFUNCTION("GOOGLETRANSLATE(H223,""en"",""az"")"),"Jaredin")</f>
        <v>Jaredin</v>
      </c>
    </row>
    <row r="224">
      <c r="A224" s="1" t="s">
        <v>9</v>
      </c>
      <c r="B224" s="1">
        <v>5.0</v>
      </c>
      <c r="C224" s="1">
        <v>20.0</v>
      </c>
      <c r="D224" s="1">
        <v>5.0</v>
      </c>
      <c r="E224" s="2" t="s">
        <v>304</v>
      </c>
      <c r="F224" s="3" t="s">
        <v>290</v>
      </c>
      <c r="G224" s="4">
        <v>8147.0</v>
      </c>
      <c r="H224" s="3" t="s">
        <v>224</v>
      </c>
      <c r="I224" s="3" t="s">
        <v>225</v>
      </c>
      <c r="J224" s="5" t="str">
        <f>IFERROR(__xludf.DUMMYFUNCTION("GOOGLETRANSLATE(I224,""en"",""az"")"),"Nömrə - fd")</f>
        <v>Nömrə - fd</v>
      </c>
      <c r="K224" s="5" t="str">
        <f>IFERROR(__xludf.DUMMYFUNCTION("GOOGLETRANSLATE(H224,""en"",""az"")"),"iki")</f>
        <v>iki</v>
      </c>
    </row>
    <row r="225">
      <c r="A225" s="1" t="s">
        <v>9</v>
      </c>
      <c r="B225" s="1">
        <v>5.0</v>
      </c>
      <c r="C225" s="1">
        <v>20.0</v>
      </c>
      <c r="D225" s="1">
        <v>6.0</v>
      </c>
      <c r="E225" s="2" t="s">
        <v>305</v>
      </c>
      <c r="F225" s="3" t="s">
        <v>271</v>
      </c>
      <c r="G225" s="4">
        <v>8346.0</v>
      </c>
      <c r="H225" s="3" t="s">
        <v>272</v>
      </c>
      <c r="I225" s="3" t="s">
        <v>165</v>
      </c>
      <c r="J225" s="5" t="str">
        <f>IFERROR(__xludf.DUMMYFUNCTION("GOOGLETRANSLATE(I225,""en"",""az"")"),"Bağlayıcı waw :: Say - ümumi cəm")</f>
        <v>Bağlayıcı waw :: Say - ümumi cəm</v>
      </c>
      <c r="K225" s="5" t="str">
        <f>IFERROR(__xludf.DUMMYFUNCTION("GOOGLETRANSLATE(H225,""en"",""az"")"),"və altmış")</f>
        <v>və altmış</v>
      </c>
    </row>
    <row r="226">
      <c r="A226" s="1" t="s">
        <v>9</v>
      </c>
      <c r="B226" s="1">
        <v>5.0</v>
      </c>
      <c r="C226" s="1">
        <v>20.0</v>
      </c>
      <c r="D226" s="1">
        <v>7.0</v>
      </c>
      <c r="E226" s="2" t="s">
        <v>109</v>
      </c>
      <c r="F226" s="3" t="s">
        <v>110</v>
      </c>
      <c r="G226" s="4">
        <v>8141.0</v>
      </c>
      <c r="H226" s="3" t="s">
        <v>111</v>
      </c>
      <c r="I226" s="3" t="s">
        <v>112</v>
      </c>
      <c r="J226" s="5" t="str">
        <f>IFERROR(__xludf.DUMMYFUNCTION("GOOGLETRANSLATE(I226,""en"",""az"")"),"İsim - qadın cinsi tək")</f>
        <v>İsim - qadın cinsi tək</v>
      </c>
      <c r="K226" s="5" t="str">
        <f>IFERROR(__xludf.DUMMYFUNCTION("GOOGLETRANSLATE(H226,""en"",""az"")"),"illər")</f>
        <v>illər</v>
      </c>
    </row>
    <row r="227">
      <c r="A227" s="1" t="s">
        <v>9</v>
      </c>
      <c r="B227" s="1">
        <v>5.0</v>
      </c>
      <c r="C227" s="1">
        <v>20.0</v>
      </c>
      <c r="D227" s="1">
        <v>8.0</v>
      </c>
      <c r="E227" s="2" t="s">
        <v>229</v>
      </c>
      <c r="F227" s="3" t="s">
        <v>230</v>
      </c>
      <c r="G227" s="4">
        <v>8672.0</v>
      </c>
      <c r="H227" s="3" t="s">
        <v>231</v>
      </c>
      <c r="I227" s="3" t="s">
        <v>108</v>
      </c>
      <c r="J227" s="5" t="str">
        <f>IFERROR(__xludf.DUMMYFUNCTION("GOOGLETRANSLATE(I227,""en"",""az"")"),"Konyunktiv waw :: Say - qadınlıq tək konstruksiyası")</f>
        <v>Konyunktiv waw :: Say - qadınlıq tək konstruksiyası</v>
      </c>
      <c r="K227" s="5" t="str">
        <f>IFERROR(__xludf.DUMMYFUNCTION("GOOGLETRANSLATE(H227,""en"",""az"")"),"və doqquz")</f>
        <v>və doqquz</v>
      </c>
    </row>
    <row r="228">
      <c r="A228" s="1" t="s">
        <v>9</v>
      </c>
      <c r="B228" s="1">
        <v>5.0</v>
      </c>
      <c r="C228" s="1">
        <v>20.0</v>
      </c>
      <c r="D228" s="1">
        <v>9.0</v>
      </c>
      <c r="E228" s="2" t="s">
        <v>209</v>
      </c>
      <c r="F228" s="3" t="s">
        <v>159</v>
      </c>
      <c r="G228" s="4">
        <v>3967.0</v>
      </c>
      <c r="H228" s="3" t="s">
        <v>160</v>
      </c>
      <c r="I228" s="3" t="s">
        <v>161</v>
      </c>
      <c r="J228" s="5" t="str">
        <f>IFERROR(__xludf.DUMMYFUNCTION("GOOGLETRANSLATE(I228,""en"",""az"")"),"Say - qadın cəm")</f>
        <v>Say - qadın cəm</v>
      </c>
      <c r="K228" s="5" t="str">
        <f>IFERROR(__xludf.DUMMYFUNCTION("GOOGLETRANSLATE(H228,""en"",""az"")"),"yüz")</f>
        <v>yüz</v>
      </c>
    </row>
    <row r="229">
      <c r="A229" s="1" t="s">
        <v>9</v>
      </c>
      <c r="B229" s="1">
        <v>5.0</v>
      </c>
      <c r="C229" s="1">
        <v>20.0</v>
      </c>
      <c r="D229" s="1">
        <v>10.0</v>
      </c>
      <c r="E229" s="2" t="s">
        <v>166</v>
      </c>
      <c r="F229" s="3" t="s">
        <v>167</v>
      </c>
      <c r="G229" s="4">
        <v>8141.0</v>
      </c>
      <c r="H229" s="3" t="s">
        <v>111</v>
      </c>
      <c r="I229" s="3" t="s">
        <v>112</v>
      </c>
      <c r="J229" s="5" t="str">
        <f>IFERROR(__xludf.DUMMYFUNCTION("GOOGLETRANSLATE(I229,""en"",""az"")"),"İsim - qadın cinsi tək")</f>
        <v>İsim - qadın cinsi tək</v>
      </c>
      <c r="K229" s="5" t="str">
        <f>IFERROR(__xludf.DUMMYFUNCTION("GOOGLETRANSLATE(H229,""en"",""az"")"),"illər")</f>
        <v>illər</v>
      </c>
    </row>
    <row r="230">
      <c r="A230" s="1" t="s">
        <v>9</v>
      </c>
      <c r="B230" s="1">
        <v>5.0</v>
      </c>
      <c r="C230" s="1">
        <v>20.0</v>
      </c>
      <c r="D230" s="1">
        <v>11.0</v>
      </c>
      <c r="E230" s="2" t="s">
        <v>168</v>
      </c>
      <c r="F230" s="3" t="s">
        <v>169</v>
      </c>
      <c r="G230" s="4">
        <v>4191.0</v>
      </c>
      <c r="H230" s="3" t="s">
        <v>170</v>
      </c>
      <c r="I230" s="3" t="s">
        <v>78</v>
      </c>
      <c r="J230" s="5" t="str">
        <f>IFERROR(__xludf.DUMMYFUNCTION("GOOGLETRANSLATE(I230,""en"",""az"")"),"Bağlayıcı waw :: Feil - Qal - Ardıcıl natamam - üçüncü şəxs kişi halında tək")</f>
        <v>Bağlayıcı waw :: Feil - Qal - Ardıcıl natamam - üçüncü şəxs kişi halında tək</v>
      </c>
      <c r="K230" s="5" t="str">
        <f>IFERROR(__xludf.DUMMYFUNCTION("GOOGLETRANSLATE(H230,""en"",""az"")"),"və o öldü")</f>
        <v>və o öldü</v>
      </c>
    </row>
    <row r="231">
      <c r="A231" s="1" t="s">
        <v>9</v>
      </c>
      <c r="B231" s="1">
        <v>5.0</v>
      </c>
      <c r="C231" s="1">
        <v>20.0</v>
      </c>
      <c r="D231" s="1">
        <v>12.0</v>
      </c>
      <c r="E231" s="2" t="s">
        <v>306</v>
      </c>
      <c r="F231" s="3" t="s">
        <v>307</v>
      </c>
      <c r="G231" s="6"/>
      <c r="H231" s="3" t="s">
        <v>81</v>
      </c>
      <c r="I231" s="3" t="s">
        <v>95</v>
      </c>
      <c r="J231" s="5" t="str">
        <f>IFERROR(__xludf.DUMMYFUNCTION("GOOGLETRANSLATE(I231,""en"",""az"")"),"Durğu işarələri")</f>
        <v>Durğu işarələri</v>
      </c>
      <c r="K231" s="5" t="str">
        <f>IFERROR(__xludf.DUMMYFUNCTION("GOOGLETRANSLATE(H231,""en"",""az"")"),"-")</f>
        <v>-</v>
      </c>
    </row>
    <row r="232">
      <c r="A232" s="1" t="s">
        <v>9</v>
      </c>
      <c r="B232" s="1">
        <v>5.0</v>
      </c>
      <c r="C232" s="1">
        <v>21.0</v>
      </c>
      <c r="D232" s="1">
        <v>1.0</v>
      </c>
      <c r="E232" s="2" t="s">
        <v>96</v>
      </c>
      <c r="F232" s="3" t="s">
        <v>97</v>
      </c>
      <c r="G232" s="4">
        <v>2421.0</v>
      </c>
      <c r="H232" s="3" t="s">
        <v>98</v>
      </c>
      <c r="I232" s="3" t="s">
        <v>78</v>
      </c>
      <c r="J232" s="5" t="str">
        <f>IFERROR(__xludf.DUMMYFUNCTION("GOOGLETRANSLATE(I232,""en"",""az"")"),"Bağlayıcı waw :: Feil - Qal - Ardıcıl natamam - üçüncü şəxs kişi halında tək")</f>
        <v>Bağlayıcı waw :: Feil - Qal - Ardıcıl natamam - üçüncü şəxs kişi halında tək</v>
      </c>
      <c r="K232" s="5" t="str">
        <f>IFERROR(__xludf.DUMMYFUNCTION("GOOGLETRANSLATE(H232,""en"",""az"")"),"Və yaşadı")</f>
        <v>Və yaşadı</v>
      </c>
    </row>
    <row r="233">
      <c r="A233" s="1" t="s">
        <v>9</v>
      </c>
      <c r="B233" s="1">
        <v>5.0</v>
      </c>
      <c r="C233" s="1">
        <v>21.0</v>
      </c>
      <c r="D233" s="1">
        <v>2.0</v>
      </c>
      <c r="E233" s="2" t="s">
        <v>298</v>
      </c>
      <c r="F233" s="3" t="s">
        <v>299</v>
      </c>
      <c r="G233" s="4">
        <v>2585.0</v>
      </c>
      <c r="H233" s="3" t="s">
        <v>296</v>
      </c>
      <c r="I233" s="3" t="s">
        <v>25</v>
      </c>
      <c r="J233" s="5" t="str">
        <f>IFERROR(__xludf.DUMMYFUNCTION("GOOGLETRANSLATE(I233,""en"",""az"")"),"İsim - xüsusi - kişi cinsində tək")</f>
        <v>İsim - xüsusi - kişi cinsində tək</v>
      </c>
      <c r="K233" s="5" t="str">
        <f>IFERROR(__xludf.DUMMYFUNCTION("GOOGLETRANSLATE(H233,""en"",""az"")"),"Enok")</f>
        <v>Enok</v>
      </c>
    </row>
    <row r="234">
      <c r="A234" s="1" t="s">
        <v>9</v>
      </c>
      <c r="B234" s="1">
        <v>5.0</v>
      </c>
      <c r="C234" s="1">
        <v>21.0</v>
      </c>
      <c r="D234" s="1">
        <v>3.0</v>
      </c>
      <c r="E234" s="2" t="s">
        <v>175</v>
      </c>
      <c r="F234" s="3" t="s">
        <v>176</v>
      </c>
      <c r="G234" s="4">
        <v>2568.0</v>
      </c>
      <c r="H234" s="3" t="s">
        <v>177</v>
      </c>
      <c r="I234" s="3" t="s">
        <v>178</v>
      </c>
      <c r="J234" s="5" t="str">
        <f>IFERROR(__xludf.DUMMYFUNCTION("GOOGLETRANSLATE(I234,""en"",""az"")"),"Say - qadın tək")</f>
        <v>Say - qadın tək</v>
      </c>
      <c r="K234" s="5" t="str">
        <f>IFERROR(__xludf.DUMMYFUNCTION("GOOGLETRANSLATE(H234,""en"",""az"")"),"beş")</f>
        <v>beş</v>
      </c>
    </row>
    <row r="235">
      <c r="A235" s="1" t="s">
        <v>9</v>
      </c>
      <c r="B235" s="1">
        <v>5.0</v>
      </c>
      <c r="C235" s="1">
        <v>21.0</v>
      </c>
      <c r="D235" s="1">
        <v>4.0</v>
      </c>
      <c r="E235" s="2" t="s">
        <v>308</v>
      </c>
      <c r="F235" s="3" t="s">
        <v>271</v>
      </c>
      <c r="G235" s="4">
        <v>8346.0</v>
      </c>
      <c r="H235" s="3" t="s">
        <v>272</v>
      </c>
      <c r="I235" s="3" t="s">
        <v>165</v>
      </c>
      <c r="J235" s="5" t="str">
        <f>IFERROR(__xludf.DUMMYFUNCTION("GOOGLETRANSLATE(I235,""en"",""az"")"),"Bağlayıcı waw :: Say - ümumi cəm")</f>
        <v>Bağlayıcı waw :: Say - ümumi cəm</v>
      </c>
      <c r="K235" s="5" t="str">
        <f>IFERROR(__xludf.DUMMYFUNCTION("GOOGLETRANSLATE(H235,""en"",""az"")"),"və altmış")</f>
        <v>və altmış</v>
      </c>
    </row>
    <row r="236">
      <c r="A236" s="1" t="s">
        <v>9</v>
      </c>
      <c r="B236" s="1">
        <v>5.0</v>
      </c>
      <c r="C236" s="1">
        <v>21.0</v>
      </c>
      <c r="D236" s="1">
        <v>5.0</v>
      </c>
      <c r="E236" s="2" t="s">
        <v>166</v>
      </c>
      <c r="F236" s="3" t="s">
        <v>167</v>
      </c>
      <c r="G236" s="4">
        <v>8141.0</v>
      </c>
      <c r="H236" s="3" t="s">
        <v>111</v>
      </c>
      <c r="I236" s="3" t="s">
        <v>112</v>
      </c>
      <c r="J236" s="5" t="str">
        <f>IFERROR(__xludf.DUMMYFUNCTION("GOOGLETRANSLATE(I236,""en"",""az"")"),"İsim - qadın cinsi tək")</f>
        <v>İsim - qadın cinsi tək</v>
      </c>
      <c r="K236" s="5" t="str">
        <f>IFERROR(__xludf.DUMMYFUNCTION("GOOGLETRANSLATE(H236,""en"",""az"")"),"illər")</f>
        <v>illər</v>
      </c>
    </row>
    <row r="237">
      <c r="A237" s="1" t="s">
        <v>9</v>
      </c>
      <c r="B237" s="1">
        <v>5.0</v>
      </c>
      <c r="C237" s="1">
        <v>21.0</v>
      </c>
      <c r="D237" s="1">
        <v>6.0</v>
      </c>
      <c r="E237" s="2" t="s">
        <v>183</v>
      </c>
      <c r="F237" s="3" t="s">
        <v>114</v>
      </c>
      <c r="G237" s="4">
        <v>3205.0</v>
      </c>
      <c r="H237" s="3" t="s">
        <v>184</v>
      </c>
      <c r="I237" s="3" t="s">
        <v>116</v>
      </c>
      <c r="J237" s="5" t="str">
        <f>IFERROR(__xludf.DUMMYFUNCTION("GOOGLETRANSLATE(I237,""en"",""az"")"),"Bağlayıcı waw :: Fe'l - Hifil - Ardıcıl natamam - üçüncü şəxs kişi formasında tək")</f>
        <v>Bağlayıcı waw :: Fe'l - Hifil - Ardıcıl natamam - üçüncü şəxs kişi formasında tək</v>
      </c>
      <c r="K237" s="5" t="str">
        <f>IFERROR(__xludf.DUMMYFUNCTION("GOOGLETRANSLATE(H237,""en"",""az"")"),"və o, doğdu")</f>
        <v>və o, doğdu</v>
      </c>
    </row>
    <row r="238">
      <c r="A238" s="1" t="s">
        <v>9</v>
      </c>
      <c r="B238" s="1">
        <v>5.0</v>
      </c>
      <c r="C238" s="1">
        <v>21.0</v>
      </c>
      <c r="D238" s="1">
        <v>7.0</v>
      </c>
      <c r="E238" s="2" t="s">
        <v>79</v>
      </c>
      <c r="F238" s="3" t="s">
        <v>80</v>
      </c>
      <c r="G238" s="4">
        <v>853.0</v>
      </c>
      <c r="H238" s="3" t="s">
        <v>81</v>
      </c>
      <c r="I238" s="3" t="s">
        <v>82</v>
      </c>
      <c r="J238" s="5" t="str">
        <f>IFERROR(__xludf.DUMMYFUNCTION("GOOGLETRANSLATE(I238,""en"",""az"")"),"Birbaşa obyekt marker")</f>
        <v>Birbaşa obyekt marker</v>
      </c>
      <c r="K238" s="5" t="str">
        <f>IFERROR(__xludf.DUMMYFUNCTION("GOOGLETRANSLATE(H238,""en"",""az"")"),"-")</f>
        <v>-</v>
      </c>
    </row>
    <row r="239">
      <c r="A239" s="1" t="s">
        <v>9</v>
      </c>
      <c r="B239" s="1">
        <v>5.0</v>
      </c>
      <c r="C239" s="1">
        <v>21.0</v>
      </c>
      <c r="D239" s="1">
        <v>8.0</v>
      </c>
      <c r="E239" s="2" t="s">
        <v>309</v>
      </c>
      <c r="F239" s="3" t="s">
        <v>310</v>
      </c>
      <c r="G239" s="4">
        <v>4968.0</v>
      </c>
      <c r="H239" s="3" t="s">
        <v>311</v>
      </c>
      <c r="I239" s="3" t="s">
        <v>25</v>
      </c>
      <c r="J239" s="5" t="str">
        <f>IFERROR(__xludf.DUMMYFUNCTION("GOOGLETRANSLATE(I239,""en"",""az"")"),"İsim - xüsusi - kişi cinsində tək")</f>
        <v>İsim - xüsusi - kişi cinsində tək</v>
      </c>
      <c r="K239" s="5" t="str">
        <f>IFERROR(__xludf.DUMMYFUNCTION("GOOGLETRANSLATE(H239,""en"",""az"")"),"Metuşelah")</f>
        <v>Metuşelah</v>
      </c>
    </row>
    <row r="240">
      <c r="A240" s="1" t="s">
        <v>9</v>
      </c>
      <c r="B240" s="1">
        <v>5.0</v>
      </c>
      <c r="C240" s="1">
        <v>22.0</v>
      </c>
      <c r="D240" s="1">
        <v>1.0</v>
      </c>
      <c r="E240" s="2" t="s">
        <v>312</v>
      </c>
      <c r="F240" s="3" t="s">
        <v>313</v>
      </c>
      <c r="G240" s="4">
        <v>1980.0</v>
      </c>
      <c r="H240" s="3" t="s">
        <v>314</v>
      </c>
      <c r="I240" s="3" t="s">
        <v>315</v>
      </c>
      <c r="J240" s="5" t="str">
        <f>IFERROR(__xludf.DUMMYFUNCTION("GOOGLETRANSLATE(I240,""en"",""az"")"),"Bağlayıcı waw :: Fe'l - Hitpael - Ardıcıl natamam - üçüncü şəxs kişi formasında tək")</f>
        <v>Bağlayıcı waw :: Fe'l - Hitpael - Ardıcıl natamam - üçüncü şəxs kişi formasında tək</v>
      </c>
      <c r="K240" s="5" t="str">
        <f>IFERROR(__xludf.DUMMYFUNCTION("GOOGLETRANSLATE(H240,""en"",""az"")"),"Və getdi")</f>
        <v>Və getdi</v>
      </c>
    </row>
    <row r="241">
      <c r="A241" s="1" t="s">
        <v>9</v>
      </c>
      <c r="B241" s="1">
        <v>5.0</v>
      </c>
      <c r="C241" s="1">
        <v>22.0</v>
      </c>
      <c r="D241" s="1">
        <v>2.0</v>
      </c>
      <c r="E241" s="2" t="s">
        <v>316</v>
      </c>
      <c r="F241" s="3" t="s">
        <v>317</v>
      </c>
      <c r="G241" s="4">
        <v>2585.0</v>
      </c>
      <c r="H241" s="3" t="s">
        <v>296</v>
      </c>
      <c r="I241" s="3" t="s">
        <v>25</v>
      </c>
      <c r="J241" s="5" t="str">
        <f>IFERROR(__xludf.DUMMYFUNCTION("GOOGLETRANSLATE(I241,""en"",""az"")"),"İsim - xüsusi - kişi cinsində tək")</f>
        <v>İsim - xüsusi - kişi cinsində tək</v>
      </c>
      <c r="K241" s="5" t="str">
        <f>IFERROR(__xludf.DUMMYFUNCTION("GOOGLETRANSLATE(H241,""en"",""az"")"),"Enok")</f>
        <v>Enok</v>
      </c>
    </row>
    <row r="242">
      <c r="A242" s="1" t="s">
        <v>9</v>
      </c>
      <c r="B242" s="1">
        <v>5.0</v>
      </c>
      <c r="C242" s="1">
        <v>22.0</v>
      </c>
      <c r="D242" s="1">
        <v>3.0</v>
      </c>
      <c r="E242" s="2" t="s">
        <v>79</v>
      </c>
      <c r="F242" s="3" t="s">
        <v>80</v>
      </c>
      <c r="G242" s="4">
        <v>854.0</v>
      </c>
      <c r="H242" s="3" t="s">
        <v>318</v>
      </c>
      <c r="I242" s="3" t="s">
        <v>193</v>
      </c>
      <c r="J242" s="5" t="str">
        <f>IFERROR(__xludf.DUMMYFUNCTION("GOOGLETRANSLATE(I242,""en"",""az"")"),"Sözönü")</f>
        <v>Sözönü</v>
      </c>
      <c r="K242" s="5" t="str">
        <f>IFERROR(__xludf.DUMMYFUNCTION("GOOGLETRANSLATE(H242,""en"",""az"")"),"ilə")</f>
        <v>ilə</v>
      </c>
    </row>
    <row r="243">
      <c r="A243" s="1" t="s">
        <v>9</v>
      </c>
      <c r="B243" s="1">
        <v>5.0</v>
      </c>
      <c r="C243" s="1">
        <v>22.0</v>
      </c>
      <c r="D243" s="1">
        <v>4.0</v>
      </c>
      <c r="E243" s="2" t="s">
        <v>319</v>
      </c>
      <c r="F243" s="3" t="s">
        <v>320</v>
      </c>
      <c r="G243" s="4">
        <v>430.0</v>
      </c>
      <c r="H243" s="3" t="s">
        <v>36</v>
      </c>
      <c r="I243" s="3" t="s">
        <v>321</v>
      </c>
      <c r="J243" s="5" t="str">
        <f>IFERROR(__xludf.DUMMYFUNCTION("GOOGLETRANSLATE(I243,""en"",""az"")"),"Article :: Isim - kişi cinsi cəm")</f>
        <v>Article :: Isim - kişi cinsi cəm</v>
      </c>
      <c r="K243" s="5" t="str">
        <f>IFERROR(__xludf.DUMMYFUNCTION("GOOGLETRANSLATE(H243,""en"",""az"")"),"Tanrı")</f>
        <v>Tanrı</v>
      </c>
    </row>
    <row r="244">
      <c r="A244" s="1" t="s">
        <v>9</v>
      </c>
      <c r="B244" s="1">
        <v>5.0</v>
      </c>
      <c r="C244" s="1">
        <v>22.0</v>
      </c>
      <c r="D244" s="1">
        <v>5.0</v>
      </c>
      <c r="E244" s="2" t="s">
        <v>190</v>
      </c>
      <c r="F244" s="3" t="s">
        <v>191</v>
      </c>
      <c r="G244" s="4">
        <v>310.0</v>
      </c>
      <c r="H244" s="3" t="s">
        <v>192</v>
      </c>
      <c r="I244" s="3" t="s">
        <v>193</v>
      </c>
      <c r="J244" s="5" t="str">
        <f>IFERROR(__xludf.DUMMYFUNCTION("GOOGLETRANSLATE(I244,""en"",""az"")"),"Sözönü")</f>
        <v>Sözönü</v>
      </c>
      <c r="K244" s="5" t="str">
        <f>IFERROR(__xludf.DUMMYFUNCTION("GOOGLETRANSLATE(H244,""en"",""az"")"),"sonra")</f>
        <v>sonra</v>
      </c>
    </row>
    <row r="245">
      <c r="A245" s="1" t="s">
        <v>9</v>
      </c>
      <c r="B245" s="1">
        <v>5.0</v>
      </c>
      <c r="C245" s="1">
        <v>22.0</v>
      </c>
      <c r="D245" s="1">
        <v>6.0</v>
      </c>
      <c r="E245" s="2" t="s">
        <v>194</v>
      </c>
      <c r="F245" s="3" t="s">
        <v>195</v>
      </c>
      <c r="G245" s="4">
        <v>3205.0</v>
      </c>
      <c r="H245" s="3" t="s">
        <v>196</v>
      </c>
      <c r="I245" s="3" t="s">
        <v>197</v>
      </c>
      <c r="J245" s="5" t="str">
        <f>IFERROR(__xludf.DUMMYFUNCTION("GOOGLETRANSLATE(I245,""en"",""az"")"),"Fe'l - Hifil - Məsdər konstruksiyası :: üçüncü şəxs kişi formasında tək")</f>
        <v>Fe'l - Hifil - Məsdər konstruksiyası :: üçüncü şəxs kişi formasında tək</v>
      </c>
      <c r="K245" s="5" t="str">
        <f>IFERROR(__xludf.DUMMYFUNCTION("GOOGLETRANSLATE(H245,""en"",""az"")"),"o doğdu")</f>
        <v>o doğdu</v>
      </c>
    </row>
    <row r="246">
      <c r="A246" s="1" t="s">
        <v>9</v>
      </c>
      <c r="B246" s="1">
        <v>5.0</v>
      </c>
      <c r="C246" s="1">
        <v>22.0</v>
      </c>
      <c r="D246" s="1">
        <v>7.0</v>
      </c>
      <c r="E246" s="2" t="s">
        <v>79</v>
      </c>
      <c r="F246" s="3" t="s">
        <v>80</v>
      </c>
      <c r="G246" s="4">
        <v>853.0</v>
      </c>
      <c r="H246" s="3" t="s">
        <v>81</v>
      </c>
      <c r="I246" s="3" t="s">
        <v>82</v>
      </c>
      <c r="J246" s="5" t="str">
        <f>IFERROR(__xludf.DUMMYFUNCTION("GOOGLETRANSLATE(I246,""en"",""az"")"),"Birbaşa obyekt marker")</f>
        <v>Birbaşa obyekt marker</v>
      </c>
      <c r="K246" s="5" t="str">
        <f>IFERROR(__xludf.DUMMYFUNCTION("GOOGLETRANSLATE(H246,""en"",""az"")"),"-")</f>
        <v>-</v>
      </c>
    </row>
    <row r="247">
      <c r="A247" s="1" t="s">
        <v>9</v>
      </c>
      <c r="B247" s="1">
        <v>5.0</v>
      </c>
      <c r="C247" s="1">
        <v>22.0</v>
      </c>
      <c r="D247" s="1">
        <v>8.0</v>
      </c>
      <c r="E247" s="2" t="s">
        <v>322</v>
      </c>
      <c r="F247" s="3" t="s">
        <v>323</v>
      </c>
      <c r="G247" s="4">
        <v>4968.0</v>
      </c>
      <c r="H247" s="3" t="s">
        <v>311</v>
      </c>
      <c r="I247" s="3" t="s">
        <v>25</v>
      </c>
      <c r="J247" s="5" t="str">
        <f>IFERROR(__xludf.DUMMYFUNCTION("GOOGLETRANSLATE(I247,""en"",""az"")"),"İsim - xüsusi - kişi cinsində tək")</f>
        <v>İsim - xüsusi - kişi cinsində tək</v>
      </c>
      <c r="K247" s="5" t="str">
        <f>IFERROR(__xludf.DUMMYFUNCTION("GOOGLETRANSLATE(H247,""en"",""az"")"),"Metuşelah")</f>
        <v>Metuşelah</v>
      </c>
    </row>
    <row r="248">
      <c r="A248" s="1" t="s">
        <v>9</v>
      </c>
      <c r="B248" s="1">
        <v>5.0</v>
      </c>
      <c r="C248" s="1">
        <v>22.0</v>
      </c>
      <c r="D248" s="1">
        <v>9.0</v>
      </c>
      <c r="E248" s="2" t="s">
        <v>324</v>
      </c>
      <c r="F248" s="3" t="s">
        <v>325</v>
      </c>
      <c r="G248" s="4">
        <v>7969.0</v>
      </c>
      <c r="H248" s="3" t="s">
        <v>326</v>
      </c>
      <c r="I248" s="3" t="s">
        <v>157</v>
      </c>
      <c r="J248" s="5" t="str">
        <f>IFERROR(__xludf.DUMMYFUNCTION("GOOGLETRANSLATE(I248,""en"",""az"")"),"Say - qadın tək quruluşu")</f>
        <v>Say - qadın tək quruluşu</v>
      </c>
      <c r="K248" s="5" t="str">
        <f>IFERROR(__xludf.DUMMYFUNCTION("GOOGLETRANSLATE(H248,""en"",""az"")"),"üç")</f>
        <v>üç</v>
      </c>
    </row>
    <row r="249">
      <c r="A249" s="1" t="s">
        <v>9</v>
      </c>
      <c r="B249" s="1">
        <v>5.0</v>
      </c>
      <c r="C249" s="1">
        <v>22.0</v>
      </c>
      <c r="D249" s="1">
        <v>10.0</v>
      </c>
      <c r="E249" s="2" t="s">
        <v>209</v>
      </c>
      <c r="F249" s="3" t="s">
        <v>159</v>
      </c>
      <c r="G249" s="4">
        <v>3967.0</v>
      </c>
      <c r="H249" s="3" t="s">
        <v>160</v>
      </c>
      <c r="I249" s="3" t="s">
        <v>161</v>
      </c>
      <c r="J249" s="5" t="str">
        <f>IFERROR(__xludf.DUMMYFUNCTION("GOOGLETRANSLATE(I249,""en"",""az"")"),"Say - qadın cəm")</f>
        <v>Say - qadın cəm</v>
      </c>
      <c r="K249" s="5" t="str">
        <f>IFERROR(__xludf.DUMMYFUNCTION("GOOGLETRANSLATE(H249,""en"",""az"")"),"yüz")</f>
        <v>yüz</v>
      </c>
    </row>
    <row r="250">
      <c r="A250" s="1" t="s">
        <v>9</v>
      </c>
      <c r="B250" s="1">
        <v>5.0</v>
      </c>
      <c r="C250" s="1">
        <v>22.0</v>
      </c>
      <c r="D250" s="1">
        <v>11.0</v>
      </c>
      <c r="E250" s="2" t="s">
        <v>166</v>
      </c>
      <c r="F250" s="3" t="s">
        <v>167</v>
      </c>
      <c r="G250" s="4">
        <v>8141.0</v>
      </c>
      <c r="H250" s="3" t="s">
        <v>111</v>
      </c>
      <c r="I250" s="3" t="s">
        <v>112</v>
      </c>
      <c r="J250" s="5" t="str">
        <f>IFERROR(__xludf.DUMMYFUNCTION("GOOGLETRANSLATE(I250,""en"",""az"")"),"İsim - qadın cinsi tək")</f>
        <v>İsim - qadın cinsi tək</v>
      </c>
      <c r="K250" s="5" t="str">
        <f>IFERROR(__xludf.DUMMYFUNCTION("GOOGLETRANSLATE(H250,""en"",""az"")"),"illər")</f>
        <v>illər</v>
      </c>
    </row>
    <row r="251">
      <c r="A251" s="1" t="s">
        <v>9</v>
      </c>
      <c r="B251" s="1">
        <v>5.0</v>
      </c>
      <c r="C251" s="1">
        <v>22.0</v>
      </c>
      <c r="D251" s="1">
        <v>12.0</v>
      </c>
      <c r="E251" s="2" t="s">
        <v>113</v>
      </c>
      <c r="F251" s="3" t="s">
        <v>114</v>
      </c>
      <c r="G251" s="4">
        <v>3205.0</v>
      </c>
      <c r="H251" s="3" t="s">
        <v>184</v>
      </c>
      <c r="I251" s="3" t="s">
        <v>116</v>
      </c>
      <c r="J251" s="5" t="str">
        <f>IFERROR(__xludf.DUMMYFUNCTION("GOOGLETRANSLATE(I251,""en"",""az"")"),"Bağlayıcı waw :: Fe'l - Hifil - Ardıcıl natamam - üçüncü şəxs kişi formasında tək")</f>
        <v>Bağlayıcı waw :: Fe'l - Hifil - Ardıcıl natamam - üçüncü şəxs kişi formasında tək</v>
      </c>
      <c r="K251" s="5" t="str">
        <f>IFERROR(__xludf.DUMMYFUNCTION("GOOGLETRANSLATE(H251,""en"",""az"")"),"və o, doğdu")</f>
        <v>və o, doğdu</v>
      </c>
    </row>
    <row r="252">
      <c r="A252" s="1" t="s">
        <v>9</v>
      </c>
      <c r="B252" s="1">
        <v>5.0</v>
      </c>
      <c r="C252" s="1">
        <v>22.0</v>
      </c>
      <c r="D252" s="1">
        <v>13.0</v>
      </c>
      <c r="E252" s="2" t="s">
        <v>210</v>
      </c>
      <c r="F252" s="3" t="s">
        <v>211</v>
      </c>
      <c r="G252" s="4">
        <v>1121.0</v>
      </c>
      <c r="H252" s="3" t="s">
        <v>212</v>
      </c>
      <c r="I252" s="3" t="s">
        <v>37</v>
      </c>
      <c r="J252" s="5" t="str">
        <f>IFERROR(__xludf.DUMMYFUNCTION("GOOGLETRANSLATE(I252,""en"",""az"")"),"İsim - kişi cəm halı")</f>
        <v>İsim - kişi cəm halı</v>
      </c>
      <c r="K252" s="5" t="str">
        <f>IFERROR(__xludf.DUMMYFUNCTION("GOOGLETRANSLATE(H252,""en"",""az"")"),"oğullar")</f>
        <v>oğullar</v>
      </c>
    </row>
    <row r="253">
      <c r="A253" s="1" t="s">
        <v>9</v>
      </c>
      <c r="B253" s="1">
        <v>5.0</v>
      </c>
      <c r="C253" s="1">
        <v>22.0</v>
      </c>
      <c r="D253" s="1">
        <v>14.0</v>
      </c>
      <c r="E253" s="2" t="s">
        <v>213</v>
      </c>
      <c r="F253" s="3" t="s">
        <v>214</v>
      </c>
      <c r="G253" s="4">
        <v>1323.0</v>
      </c>
      <c r="H253" s="3" t="s">
        <v>215</v>
      </c>
      <c r="I253" s="3" t="s">
        <v>216</v>
      </c>
      <c r="J253" s="5" t="str">
        <f>IFERROR(__xludf.DUMMYFUNCTION("GOOGLETRANSLATE(I253,""en"",""az"")"),"Conjunctive waw :: Noun - qadın cəm")</f>
        <v>Conjunctive waw :: Noun - qadın cəm</v>
      </c>
      <c r="K253" s="5" t="str">
        <f>IFERROR(__xludf.DUMMYFUNCTION("GOOGLETRANSLATE(H253,""en"",""az"")"),"və qızları")</f>
        <v>və qızları</v>
      </c>
    </row>
    <row r="254">
      <c r="A254" s="1" t="s">
        <v>9</v>
      </c>
      <c r="B254" s="1">
        <v>5.0</v>
      </c>
      <c r="C254" s="1">
        <v>23.0</v>
      </c>
      <c r="D254" s="1">
        <v>1.0</v>
      </c>
      <c r="E254" s="2" t="s">
        <v>327</v>
      </c>
      <c r="F254" s="3" t="s">
        <v>328</v>
      </c>
      <c r="G254" s="4">
        <v>1961.0</v>
      </c>
      <c r="H254" s="3" t="s">
        <v>136</v>
      </c>
      <c r="I254" s="3" t="s">
        <v>78</v>
      </c>
      <c r="J254" s="5" t="str">
        <f>IFERROR(__xludf.DUMMYFUNCTION("GOOGLETRANSLATE(I254,""en"",""az"")"),"Bağlayıcı waw :: Feil - Qal - Ardıcıl natamam - üçüncü şəxs kişi halında tək")</f>
        <v>Bağlayıcı waw :: Feil - Qal - Ardıcıl natamam - üçüncü şəxs kişi halında tək</v>
      </c>
      <c r="K254" s="5" t="str">
        <f>IFERROR(__xludf.DUMMYFUNCTION("GOOGLETRANSLATE(H254,""en"",""az"")"),"Elə idilər də")</f>
        <v>Elə idilər də</v>
      </c>
    </row>
    <row r="255">
      <c r="A255" s="1" t="s">
        <v>9</v>
      </c>
      <c r="B255" s="1">
        <v>5.0</v>
      </c>
      <c r="C255" s="1">
        <v>23.0</v>
      </c>
      <c r="D255" s="1">
        <v>2.0</v>
      </c>
      <c r="E255" s="2" t="s">
        <v>138</v>
      </c>
      <c r="F255" s="3" t="s">
        <v>139</v>
      </c>
      <c r="G255" s="4">
        <v>3605.0</v>
      </c>
      <c r="H255" s="3" t="s">
        <v>140</v>
      </c>
      <c r="I255" s="3" t="s">
        <v>17</v>
      </c>
      <c r="J255" s="5" t="str">
        <f>IFERROR(__xludf.DUMMYFUNCTION("GOOGLETRANSLATE(I255,""en"",""az"")"),"İsim - kişi cinsində tək konstruksiya")</f>
        <v>İsim - kişi cinsində tək konstruksiya</v>
      </c>
      <c r="K255" s="5" t="str">
        <f>IFERROR(__xludf.DUMMYFUNCTION("GOOGLETRANSLATE(H255,""en"",""az"")"),"hamısı")</f>
        <v>hamısı</v>
      </c>
    </row>
    <row r="256">
      <c r="A256" s="1" t="s">
        <v>9</v>
      </c>
      <c r="B256" s="1">
        <v>5.0</v>
      </c>
      <c r="C256" s="1">
        <v>23.0</v>
      </c>
      <c r="D256" s="1">
        <v>3.0</v>
      </c>
      <c r="E256" s="2" t="s">
        <v>247</v>
      </c>
      <c r="F256" s="3" t="s">
        <v>142</v>
      </c>
      <c r="G256" s="4">
        <v>3117.0</v>
      </c>
      <c r="H256" s="3" t="s">
        <v>143</v>
      </c>
      <c r="I256" s="3" t="s">
        <v>144</v>
      </c>
      <c r="J256" s="5" t="str">
        <f>IFERROR(__xludf.DUMMYFUNCTION("GOOGLETRANSLATE(I256,""en"",""az"")"),"İsim - kişi cəm forması")</f>
        <v>İsim - kişi cəm forması</v>
      </c>
      <c r="K256" s="5" t="str">
        <f>IFERROR(__xludf.DUMMYFUNCTION("GOOGLETRANSLATE(H256,""en"",""az"")"),"günlər")</f>
        <v>günlər</v>
      </c>
    </row>
    <row r="257">
      <c r="A257" s="1" t="s">
        <v>9</v>
      </c>
      <c r="B257" s="1">
        <v>5.0</v>
      </c>
      <c r="C257" s="1">
        <v>23.0</v>
      </c>
      <c r="D257" s="1">
        <v>4.0</v>
      </c>
      <c r="E257" s="2" t="s">
        <v>329</v>
      </c>
      <c r="F257" s="3" t="s">
        <v>330</v>
      </c>
      <c r="G257" s="4">
        <v>2585.0</v>
      </c>
      <c r="H257" s="3" t="s">
        <v>331</v>
      </c>
      <c r="I257" s="3" t="s">
        <v>25</v>
      </c>
      <c r="J257" s="5" t="str">
        <f>IFERROR(__xludf.DUMMYFUNCTION("GOOGLETRANSLATE(I257,""en"",""az"")"),"İsim - xüsusi - kişi cinsində tək")</f>
        <v>İsim - xüsusi - kişi cinsində tək</v>
      </c>
      <c r="K257" s="5" t="str">
        <f>IFERROR(__xludf.DUMMYFUNCTION("GOOGLETRANSLATE(H257,""en"",""az"")"),"Xanokun")</f>
        <v>Xanokun</v>
      </c>
    </row>
    <row r="258">
      <c r="A258" s="1" t="s">
        <v>9</v>
      </c>
      <c r="B258" s="1">
        <v>5.0</v>
      </c>
      <c r="C258" s="1">
        <v>23.0</v>
      </c>
      <c r="D258" s="1">
        <v>5.0</v>
      </c>
      <c r="E258" s="2" t="s">
        <v>283</v>
      </c>
      <c r="F258" s="3" t="s">
        <v>176</v>
      </c>
      <c r="G258" s="4">
        <v>2568.0</v>
      </c>
      <c r="H258" s="3" t="s">
        <v>177</v>
      </c>
      <c r="I258" s="3" t="s">
        <v>178</v>
      </c>
      <c r="J258" s="5" t="str">
        <f>IFERROR(__xludf.DUMMYFUNCTION("GOOGLETRANSLATE(I258,""en"",""az"")"),"Say - qadın tək")</f>
        <v>Say - qadın tək</v>
      </c>
      <c r="K258" s="5" t="str">
        <f>IFERROR(__xludf.DUMMYFUNCTION("GOOGLETRANSLATE(H258,""en"",""az"")"),"beş")</f>
        <v>beş</v>
      </c>
    </row>
    <row r="259">
      <c r="A259" s="1" t="s">
        <v>9</v>
      </c>
      <c r="B259" s="1">
        <v>5.0</v>
      </c>
      <c r="C259" s="1">
        <v>23.0</v>
      </c>
      <c r="D259" s="1">
        <v>6.0</v>
      </c>
      <c r="E259" s="2" t="s">
        <v>305</v>
      </c>
      <c r="F259" s="3" t="s">
        <v>271</v>
      </c>
      <c r="G259" s="4">
        <v>8346.0</v>
      </c>
      <c r="H259" s="3" t="s">
        <v>272</v>
      </c>
      <c r="I259" s="3" t="s">
        <v>165</v>
      </c>
      <c r="J259" s="5" t="str">
        <f>IFERROR(__xludf.DUMMYFUNCTION("GOOGLETRANSLATE(I259,""en"",""az"")"),"Bağlayıcı waw :: Say - ümumi cəm")</f>
        <v>Bağlayıcı waw :: Say - ümumi cəm</v>
      </c>
      <c r="K259" s="5" t="str">
        <f>IFERROR(__xludf.DUMMYFUNCTION("GOOGLETRANSLATE(H259,""en"",""az"")"),"və altmış")</f>
        <v>və altmış</v>
      </c>
    </row>
    <row r="260">
      <c r="A260" s="1" t="s">
        <v>9</v>
      </c>
      <c r="B260" s="1">
        <v>5.0</v>
      </c>
      <c r="C260" s="1">
        <v>23.0</v>
      </c>
      <c r="D260" s="1">
        <v>7.0</v>
      </c>
      <c r="E260" s="2" t="s">
        <v>109</v>
      </c>
      <c r="F260" s="3" t="s">
        <v>110</v>
      </c>
      <c r="G260" s="4">
        <v>8141.0</v>
      </c>
      <c r="H260" s="3" t="s">
        <v>111</v>
      </c>
      <c r="I260" s="3" t="s">
        <v>112</v>
      </c>
      <c r="J260" s="5" t="str">
        <f>IFERROR(__xludf.DUMMYFUNCTION("GOOGLETRANSLATE(I260,""en"",""az"")"),"İsim - qadın cinsi tək")</f>
        <v>İsim - qadın cinsi tək</v>
      </c>
      <c r="K260" s="5" t="str">
        <f>IFERROR(__xludf.DUMMYFUNCTION("GOOGLETRANSLATE(H260,""en"",""az"")"),"illər")</f>
        <v>illər</v>
      </c>
    </row>
    <row r="261">
      <c r="A261" s="1" t="s">
        <v>9</v>
      </c>
      <c r="B261" s="1">
        <v>5.0</v>
      </c>
      <c r="C261" s="1">
        <v>23.0</v>
      </c>
      <c r="D261" s="1">
        <v>8.0</v>
      </c>
      <c r="E261" s="2" t="s">
        <v>332</v>
      </c>
      <c r="F261" s="3" t="s">
        <v>333</v>
      </c>
      <c r="G261" s="4">
        <v>7969.0</v>
      </c>
      <c r="H261" s="3" t="s">
        <v>334</v>
      </c>
      <c r="I261" s="3" t="s">
        <v>108</v>
      </c>
      <c r="J261" s="5" t="str">
        <f>IFERROR(__xludf.DUMMYFUNCTION("GOOGLETRANSLATE(I261,""en"",""az"")"),"Konyunktiv waw :: Say - qadınlıq tək konstruksiyası")</f>
        <v>Konyunktiv waw :: Say - qadınlıq tək konstruksiyası</v>
      </c>
      <c r="K261" s="5" t="str">
        <f>IFERROR(__xludf.DUMMYFUNCTION("GOOGLETRANSLATE(H261,""en"",""az"")"),"və üç")</f>
        <v>və üç</v>
      </c>
    </row>
    <row r="262">
      <c r="A262" s="1" t="s">
        <v>9</v>
      </c>
      <c r="B262" s="1">
        <v>5.0</v>
      </c>
      <c r="C262" s="1">
        <v>23.0</v>
      </c>
      <c r="D262" s="1">
        <v>9.0</v>
      </c>
      <c r="E262" s="2" t="s">
        <v>209</v>
      </c>
      <c r="F262" s="3" t="s">
        <v>159</v>
      </c>
      <c r="G262" s="4">
        <v>3967.0</v>
      </c>
      <c r="H262" s="3" t="s">
        <v>160</v>
      </c>
      <c r="I262" s="3" t="s">
        <v>161</v>
      </c>
      <c r="J262" s="5" t="str">
        <f>IFERROR(__xludf.DUMMYFUNCTION("GOOGLETRANSLATE(I262,""en"",""az"")"),"Say - qadın cəm")</f>
        <v>Say - qadın cəm</v>
      </c>
      <c r="K262" s="5" t="str">
        <f>IFERROR(__xludf.DUMMYFUNCTION("GOOGLETRANSLATE(H262,""en"",""az"")"),"yüz")</f>
        <v>yüz</v>
      </c>
    </row>
    <row r="263">
      <c r="A263" s="1" t="s">
        <v>9</v>
      </c>
      <c r="B263" s="1">
        <v>5.0</v>
      </c>
      <c r="C263" s="1">
        <v>23.0</v>
      </c>
      <c r="D263" s="1">
        <v>10.0</v>
      </c>
      <c r="E263" s="2" t="s">
        <v>335</v>
      </c>
      <c r="F263" s="3" t="s">
        <v>336</v>
      </c>
      <c r="G263" s="4">
        <v>8141.0</v>
      </c>
      <c r="H263" s="3" t="s">
        <v>111</v>
      </c>
      <c r="I263" s="3" t="s">
        <v>112</v>
      </c>
      <c r="J263" s="5" t="str">
        <f>IFERROR(__xludf.DUMMYFUNCTION("GOOGLETRANSLATE(I263,""en"",""az"")"),"İsim - qadın cinsi tək")</f>
        <v>İsim - qadın cinsi tək</v>
      </c>
      <c r="K263" s="5" t="str">
        <f>IFERROR(__xludf.DUMMYFUNCTION("GOOGLETRANSLATE(H263,""en"",""az"")"),"illər")</f>
        <v>illər</v>
      </c>
    </row>
    <row r="264">
      <c r="A264" s="1" t="s">
        <v>9</v>
      </c>
      <c r="B264" s="1">
        <v>5.0</v>
      </c>
      <c r="C264" s="1">
        <v>24.0</v>
      </c>
      <c r="D264" s="1">
        <v>1.0</v>
      </c>
      <c r="E264" s="2" t="s">
        <v>337</v>
      </c>
      <c r="F264" s="3" t="s">
        <v>313</v>
      </c>
      <c r="G264" s="4">
        <v>1980.0</v>
      </c>
      <c r="H264" s="3" t="s">
        <v>314</v>
      </c>
      <c r="I264" s="3" t="s">
        <v>315</v>
      </c>
      <c r="J264" s="5" t="str">
        <f>IFERROR(__xludf.DUMMYFUNCTION("GOOGLETRANSLATE(I264,""en"",""az"")"),"Bağlayıcı waw :: Fe'l - Hitpael - Ardıcıl natamam - üçüncü şəxs kişi formasında tək")</f>
        <v>Bağlayıcı waw :: Fe'l - Hitpael - Ardıcıl natamam - üçüncü şəxs kişi formasında tək</v>
      </c>
      <c r="K264" s="5" t="str">
        <f>IFERROR(__xludf.DUMMYFUNCTION("GOOGLETRANSLATE(H264,""en"",""az"")"),"Və getdi")</f>
        <v>Və getdi</v>
      </c>
    </row>
    <row r="265">
      <c r="A265" s="1" t="s">
        <v>9</v>
      </c>
      <c r="B265" s="1">
        <v>5.0</v>
      </c>
      <c r="C265" s="1">
        <v>24.0</v>
      </c>
      <c r="D265" s="1">
        <v>2.0</v>
      </c>
      <c r="E265" s="2" t="s">
        <v>338</v>
      </c>
      <c r="F265" s="3" t="s">
        <v>317</v>
      </c>
      <c r="G265" s="4">
        <v>2585.0</v>
      </c>
      <c r="H265" s="3" t="s">
        <v>296</v>
      </c>
      <c r="I265" s="3" t="s">
        <v>25</v>
      </c>
      <c r="J265" s="5" t="str">
        <f>IFERROR(__xludf.DUMMYFUNCTION("GOOGLETRANSLATE(I265,""en"",""az"")"),"İsim - xüsusi - kişi cinsində tək")</f>
        <v>İsim - xüsusi - kişi cinsində tək</v>
      </c>
      <c r="K265" s="5" t="str">
        <f>IFERROR(__xludf.DUMMYFUNCTION("GOOGLETRANSLATE(H265,""en"",""az"")"),"Enok")</f>
        <v>Enok</v>
      </c>
    </row>
    <row r="266">
      <c r="A266" s="1" t="s">
        <v>9</v>
      </c>
      <c r="B266" s="1">
        <v>5.0</v>
      </c>
      <c r="C266" s="1">
        <v>24.0</v>
      </c>
      <c r="D266" s="1">
        <v>3.0</v>
      </c>
      <c r="E266" s="2" t="s">
        <v>79</v>
      </c>
      <c r="F266" s="3" t="s">
        <v>80</v>
      </c>
      <c r="G266" s="4">
        <v>854.0</v>
      </c>
      <c r="H266" s="3" t="s">
        <v>318</v>
      </c>
      <c r="I266" s="3" t="s">
        <v>193</v>
      </c>
      <c r="J266" s="5" t="str">
        <f>IFERROR(__xludf.DUMMYFUNCTION("GOOGLETRANSLATE(I266,""en"",""az"")"),"Sözönü")</f>
        <v>Sözönü</v>
      </c>
      <c r="K266" s="5" t="str">
        <f>IFERROR(__xludf.DUMMYFUNCTION("GOOGLETRANSLATE(H266,""en"",""az"")"),"ilə")</f>
        <v>ilə</v>
      </c>
    </row>
    <row r="267">
      <c r="A267" s="1" t="s">
        <v>9</v>
      </c>
      <c r="B267" s="1">
        <v>5.0</v>
      </c>
      <c r="C267" s="1">
        <v>24.0</v>
      </c>
      <c r="D267" s="1">
        <v>4.0</v>
      </c>
      <c r="E267" s="2" t="s">
        <v>339</v>
      </c>
      <c r="F267" s="3" t="s">
        <v>340</v>
      </c>
      <c r="G267" s="4">
        <v>430.0</v>
      </c>
      <c r="H267" s="3" t="s">
        <v>36</v>
      </c>
      <c r="I267" s="3" t="s">
        <v>321</v>
      </c>
      <c r="J267" s="5" t="str">
        <f>IFERROR(__xludf.DUMMYFUNCTION("GOOGLETRANSLATE(I267,""en"",""az"")"),"Article :: Isim - kişi cinsi cəm")</f>
        <v>Article :: Isim - kişi cinsi cəm</v>
      </c>
      <c r="K267" s="5" t="str">
        <f>IFERROR(__xludf.DUMMYFUNCTION("GOOGLETRANSLATE(H267,""en"",""az"")"),"Tanrı")</f>
        <v>Tanrı</v>
      </c>
    </row>
    <row r="268">
      <c r="A268" s="1" t="s">
        <v>9</v>
      </c>
      <c r="B268" s="1">
        <v>5.0</v>
      </c>
      <c r="C268" s="1">
        <v>24.0</v>
      </c>
      <c r="D268" s="1">
        <v>5.0</v>
      </c>
      <c r="E268" s="2" t="s">
        <v>341</v>
      </c>
      <c r="F268" s="3" t="s">
        <v>342</v>
      </c>
      <c r="G268" s="4">
        <v>369.0</v>
      </c>
      <c r="H268" s="3" t="s">
        <v>343</v>
      </c>
      <c r="I268" s="3" t="s">
        <v>344</v>
      </c>
      <c r="J268" s="5" t="str">
        <f>IFERROR(__xludf.DUMMYFUNCTION("GOOGLETRANSLATE(I268,""en"",""az"")"),"Bağlayıcı wav :: Zərf :: üçüncü şəxs kişi cinsində tək")</f>
        <v>Bağlayıcı wav :: Zərf :: üçüncü şəxs kişi cinsində tək</v>
      </c>
      <c r="K268" s="5" t="str">
        <f>IFERROR(__xludf.DUMMYFUNCTION("GOOGLETRANSLATE(H268,""en"",""az"")"),"və o deyildi")</f>
        <v>və o deyildi</v>
      </c>
    </row>
    <row r="269">
      <c r="A269" s="1" t="s">
        <v>9</v>
      </c>
      <c r="B269" s="1">
        <v>5.0</v>
      </c>
      <c r="C269" s="1">
        <v>24.0</v>
      </c>
      <c r="D269" s="1">
        <v>6.0</v>
      </c>
      <c r="E269" s="2" t="s">
        <v>345</v>
      </c>
      <c r="F269" s="3" t="s">
        <v>346</v>
      </c>
      <c r="G269" s="4">
        <v>3588.0</v>
      </c>
      <c r="H269" s="3" t="s">
        <v>347</v>
      </c>
      <c r="I269" s="3" t="s">
        <v>348</v>
      </c>
      <c r="J269" s="5" t="str">
        <f>IFERROR(__xludf.DUMMYFUNCTION("GOOGLETRANSLATE(I269,""en"",""az"")"),"Qoşulma")</f>
        <v>Qoşulma</v>
      </c>
      <c r="K269" s="5" t="str">
        <f>IFERROR(__xludf.DUMMYFUNCTION("GOOGLETRANSLATE(H269,""en"",""az"")"),"üçün")</f>
        <v>üçün</v>
      </c>
    </row>
    <row r="270">
      <c r="A270" s="1" t="s">
        <v>9</v>
      </c>
      <c r="B270" s="1">
        <v>5.0</v>
      </c>
      <c r="C270" s="1">
        <v>24.0</v>
      </c>
      <c r="D270" s="1">
        <v>7.0</v>
      </c>
      <c r="E270" s="2" t="s">
        <v>349</v>
      </c>
      <c r="F270" s="3" t="s">
        <v>350</v>
      </c>
      <c r="G270" s="4">
        <v>3947.0</v>
      </c>
      <c r="H270" s="3" t="s">
        <v>351</v>
      </c>
      <c r="I270" s="3" t="s">
        <v>51</v>
      </c>
      <c r="J270" s="5" t="str">
        <f>IFERROR(__xludf.DUMMYFUNCTION("GOOGLETRANSLATE(I270,""en"",""az"")"),"Fe'l - Qal - Perfect - üçüncü şəxs kişi formasında tək")</f>
        <v>Fe'l - Qal - Perfect - üçüncü şəxs kişi formasında tək</v>
      </c>
      <c r="K270" s="5" t="str">
        <f>IFERROR(__xludf.DUMMYFUNCTION("GOOGLETRANSLATE(H270,""en"",""az"")"),"götürdü")</f>
        <v>götürdü</v>
      </c>
    </row>
    <row r="271">
      <c r="A271" s="1" t="s">
        <v>9</v>
      </c>
      <c r="B271" s="1">
        <v>5.0</v>
      </c>
      <c r="C271" s="1">
        <v>24.0</v>
      </c>
      <c r="D271" s="1">
        <v>8.0</v>
      </c>
      <c r="E271" s="2" t="s">
        <v>352</v>
      </c>
      <c r="F271" s="3" t="s">
        <v>353</v>
      </c>
      <c r="G271" s="4">
        <v>853.0</v>
      </c>
      <c r="H271" s="3" t="s">
        <v>54</v>
      </c>
      <c r="I271" s="3" t="s">
        <v>55</v>
      </c>
      <c r="J271" s="5" t="str">
        <f>IFERROR(__xludf.DUMMYFUNCTION("GOOGLETRANSLATE(I271,""en"",""az"")"),"Birbaşa obyekt işarəsi :: üçüncü şəxs kişi tək")</f>
        <v>Birbaşa obyekt işarəsi :: üçüncü şəxs kişi tək</v>
      </c>
      <c r="K271" s="5" t="str">
        <f>IFERROR(__xludf.DUMMYFUNCTION("GOOGLETRANSLATE(H271,""en"",""az"")"),"onu")</f>
        <v>onu</v>
      </c>
    </row>
    <row r="272">
      <c r="A272" s="1" t="s">
        <v>9</v>
      </c>
      <c r="B272" s="1">
        <v>5.0</v>
      </c>
      <c r="C272" s="1">
        <v>24.0</v>
      </c>
      <c r="D272" s="1">
        <v>9.0</v>
      </c>
      <c r="E272" s="2" t="s">
        <v>354</v>
      </c>
      <c r="F272" s="3" t="s">
        <v>355</v>
      </c>
      <c r="G272" s="4">
        <v>430.0</v>
      </c>
      <c r="H272" s="3" t="s">
        <v>36</v>
      </c>
      <c r="I272" s="3" t="s">
        <v>37</v>
      </c>
      <c r="J272" s="5" t="str">
        <f>IFERROR(__xludf.DUMMYFUNCTION("GOOGLETRANSLATE(I272,""en"",""az"")"),"İsim - kişi cəm halı")</f>
        <v>İsim - kişi cəm halı</v>
      </c>
      <c r="K272" s="5" t="str">
        <f>IFERROR(__xludf.DUMMYFUNCTION("GOOGLETRANSLATE(H272,""en"",""az"")"),"Tanrı")</f>
        <v>Tanrı</v>
      </c>
    </row>
    <row r="273">
      <c r="A273" s="1" t="s">
        <v>9</v>
      </c>
      <c r="B273" s="1">
        <v>5.0</v>
      </c>
      <c r="C273" s="1">
        <v>24.0</v>
      </c>
      <c r="D273" s="1">
        <v>10.0</v>
      </c>
      <c r="E273" s="2" t="s">
        <v>306</v>
      </c>
      <c r="F273" s="3" t="s">
        <v>307</v>
      </c>
      <c r="G273" s="6"/>
      <c r="H273" s="3" t="s">
        <v>81</v>
      </c>
      <c r="I273" s="3" t="s">
        <v>95</v>
      </c>
      <c r="J273" s="5" t="str">
        <f>IFERROR(__xludf.DUMMYFUNCTION("GOOGLETRANSLATE(I273,""en"",""az"")"),"Durğu işarələri")</f>
        <v>Durğu işarələri</v>
      </c>
      <c r="K273" s="5" t="str">
        <f>IFERROR(__xludf.DUMMYFUNCTION("GOOGLETRANSLATE(H273,""en"",""az"")"),"-")</f>
        <v>-</v>
      </c>
    </row>
    <row r="274">
      <c r="A274" s="1" t="s">
        <v>9</v>
      </c>
      <c r="B274" s="1">
        <v>5.0</v>
      </c>
      <c r="C274" s="1">
        <v>25.0</v>
      </c>
      <c r="D274" s="1">
        <v>1.0</v>
      </c>
      <c r="E274" s="2" t="s">
        <v>258</v>
      </c>
      <c r="F274" s="3" t="s">
        <v>97</v>
      </c>
      <c r="G274" s="4">
        <v>2421.0</v>
      </c>
      <c r="H274" s="3" t="s">
        <v>98</v>
      </c>
      <c r="I274" s="3" t="s">
        <v>78</v>
      </c>
      <c r="J274" s="5" t="str">
        <f>IFERROR(__xludf.DUMMYFUNCTION("GOOGLETRANSLATE(I274,""en"",""az"")"),"Bağlayıcı waw :: Feil - Qal - Ardıcıl natamam - üçüncü şəxs kişi halında tək")</f>
        <v>Bağlayıcı waw :: Feil - Qal - Ardıcıl natamam - üçüncü şəxs kişi halında tək</v>
      </c>
      <c r="K274" s="5" t="str">
        <f>IFERROR(__xludf.DUMMYFUNCTION("GOOGLETRANSLATE(H274,""en"",""az"")"),"Və yaşadı")</f>
        <v>Və yaşadı</v>
      </c>
    </row>
    <row r="275">
      <c r="A275" s="1" t="s">
        <v>9</v>
      </c>
      <c r="B275" s="1">
        <v>5.0</v>
      </c>
      <c r="C275" s="1">
        <v>25.0</v>
      </c>
      <c r="D275" s="1">
        <v>2.0</v>
      </c>
      <c r="E275" s="2" t="s">
        <v>322</v>
      </c>
      <c r="F275" s="3" t="s">
        <v>323</v>
      </c>
      <c r="G275" s="4">
        <v>4968.0</v>
      </c>
      <c r="H275" s="3" t="s">
        <v>311</v>
      </c>
      <c r="I275" s="3" t="s">
        <v>25</v>
      </c>
      <c r="J275" s="5" t="str">
        <f>IFERROR(__xludf.DUMMYFUNCTION("GOOGLETRANSLATE(I275,""en"",""az"")"),"İsim - xüsusi - kişi cinsində tək")</f>
        <v>İsim - xüsusi - kişi cinsində tək</v>
      </c>
      <c r="K275" s="5" t="str">
        <f>IFERROR(__xludf.DUMMYFUNCTION("GOOGLETRANSLATE(H275,""en"",""az"")"),"Metuşelah")</f>
        <v>Metuşelah</v>
      </c>
    </row>
    <row r="276">
      <c r="A276" s="1" t="s">
        <v>9</v>
      </c>
      <c r="B276" s="1">
        <v>5.0</v>
      </c>
      <c r="C276" s="1">
        <v>25.0</v>
      </c>
      <c r="D276" s="1">
        <v>3.0</v>
      </c>
      <c r="E276" s="2" t="s">
        <v>356</v>
      </c>
      <c r="F276" s="3" t="s">
        <v>201</v>
      </c>
      <c r="G276" s="4">
        <v>7651.0</v>
      </c>
      <c r="H276" s="3" t="s">
        <v>202</v>
      </c>
      <c r="I276" s="3" t="s">
        <v>178</v>
      </c>
      <c r="J276" s="5" t="str">
        <f>IFERROR(__xludf.DUMMYFUNCTION("GOOGLETRANSLATE(I276,""en"",""az"")"),"Say - qadın tək")</f>
        <v>Say - qadın tək</v>
      </c>
      <c r="K276" s="5" t="str">
        <f>IFERROR(__xludf.DUMMYFUNCTION("GOOGLETRANSLATE(H276,""en"",""az"")"),"yeddi")</f>
        <v>yeddi</v>
      </c>
    </row>
    <row r="277">
      <c r="A277" s="1" t="s">
        <v>9</v>
      </c>
      <c r="B277" s="1">
        <v>5.0</v>
      </c>
      <c r="C277" s="1">
        <v>25.0</v>
      </c>
      <c r="D277" s="1">
        <v>4.0</v>
      </c>
      <c r="E277" s="2" t="s">
        <v>357</v>
      </c>
      <c r="F277" s="3" t="s">
        <v>358</v>
      </c>
      <c r="G277" s="4">
        <v>8084.0</v>
      </c>
      <c r="H277" s="3" t="s">
        <v>359</v>
      </c>
      <c r="I277" s="3" t="s">
        <v>165</v>
      </c>
      <c r="J277" s="5" t="str">
        <f>IFERROR(__xludf.DUMMYFUNCTION("GOOGLETRANSLATE(I277,""en"",""az"")"),"Bağlayıcı waw :: Say - ümumi cəm")</f>
        <v>Bağlayıcı waw :: Say - ümumi cəm</v>
      </c>
      <c r="K277" s="5" t="str">
        <f>IFERROR(__xludf.DUMMYFUNCTION("GOOGLETRANSLATE(H277,""en"",""az"")"),"və səksən")</f>
        <v>və səksən</v>
      </c>
    </row>
    <row r="278">
      <c r="A278" s="1" t="s">
        <v>9</v>
      </c>
      <c r="B278" s="1">
        <v>5.0</v>
      </c>
      <c r="C278" s="1">
        <v>25.0</v>
      </c>
      <c r="D278" s="1">
        <v>5.0</v>
      </c>
      <c r="E278" s="2" t="s">
        <v>292</v>
      </c>
      <c r="F278" s="3" t="s">
        <v>293</v>
      </c>
      <c r="G278" s="4">
        <v>8141.0</v>
      </c>
      <c r="H278" s="3" t="s">
        <v>111</v>
      </c>
      <c r="I278" s="3" t="s">
        <v>112</v>
      </c>
      <c r="J278" s="5" t="str">
        <f>IFERROR(__xludf.DUMMYFUNCTION("GOOGLETRANSLATE(I278,""en"",""az"")"),"İsim - qadın cinsi tək")</f>
        <v>İsim - qadın cinsi tək</v>
      </c>
      <c r="K278" s="5" t="str">
        <f>IFERROR(__xludf.DUMMYFUNCTION("GOOGLETRANSLATE(H278,""en"",""az"")"),"illər")</f>
        <v>illər</v>
      </c>
    </row>
    <row r="279">
      <c r="A279" s="1" t="s">
        <v>9</v>
      </c>
      <c r="B279" s="1">
        <v>5.0</v>
      </c>
      <c r="C279" s="1">
        <v>25.0</v>
      </c>
      <c r="D279" s="1">
        <v>6.0</v>
      </c>
      <c r="E279" s="2" t="s">
        <v>182</v>
      </c>
      <c r="F279" s="3" t="s">
        <v>106</v>
      </c>
      <c r="G279" s="4">
        <v>3967.0</v>
      </c>
      <c r="H279" s="3" t="s">
        <v>107</v>
      </c>
      <c r="I279" s="3" t="s">
        <v>108</v>
      </c>
      <c r="J279" s="5" t="str">
        <f>IFERROR(__xludf.DUMMYFUNCTION("GOOGLETRANSLATE(I279,""en"",""az"")"),"Konyunktiv waw :: Say - qadınlıq tək konstruksiyası")</f>
        <v>Konyunktiv waw :: Say - qadınlıq tək konstruksiyası</v>
      </c>
      <c r="K279" s="5" t="str">
        <f>IFERROR(__xludf.DUMMYFUNCTION("GOOGLETRANSLATE(H279,""en"",""az"")"),"və yüz")</f>
        <v>və yüz</v>
      </c>
    </row>
    <row r="280">
      <c r="A280" s="1" t="s">
        <v>9</v>
      </c>
      <c r="B280" s="1">
        <v>5.0</v>
      </c>
      <c r="C280" s="1">
        <v>25.0</v>
      </c>
      <c r="D280" s="1">
        <v>7.0</v>
      </c>
      <c r="E280" s="2" t="s">
        <v>166</v>
      </c>
      <c r="F280" s="3" t="s">
        <v>167</v>
      </c>
      <c r="G280" s="4">
        <v>8141.0</v>
      </c>
      <c r="H280" s="3" t="s">
        <v>111</v>
      </c>
      <c r="I280" s="3" t="s">
        <v>112</v>
      </c>
      <c r="J280" s="5" t="str">
        <f>IFERROR(__xludf.DUMMYFUNCTION("GOOGLETRANSLATE(I280,""en"",""az"")"),"İsim - qadın cinsi tək")</f>
        <v>İsim - qadın cinsi tək</v>
      </c>
      <c r="K280" s="5" t="str">
        <f>IFERROR(__xludf.DUMMYFUNCTION("GOOGLETRANSLATE(H280,""en"",""az"")"),"illər")</f>
        <v>illər</v>
      </c>
    </row>
    <row r="281">
      <c r="A281" s="1" t="s">
        <v>9</v>
      </c>
      <c r="B281" s="1">
        <v>5.0</v>
      </c>
      <c r="C281" s="1">
        <v>25.0</v>
      </c>
      <c r="D281" s="1">
        <v>8.0</v>
      </c>
      <c r="E281" s="2" t="s">
        <v>183</v>
      </c>
      <c r="F281" s="3" t="s">
        <v>114</v>
      </c>
      <c r="G281" s="4">
        <v>3205.0</v>
      </c>
      <c r="H281" s="3" t="s">
        <v>184</v>
      </c>
      <c r="I281" s="3" t="s">
        <v>116</v>
      </c>
      <c r="J281" s="5" t="str">
        <f>IFERROR(__xludf.DUMMYFUNCTION("GOOGLETRANSLATE(I281,""en"",""az"")"),"Bağlayıcı waw :: Fe'l - Hifil - Ardıcıl natamam - üçüncü şəxs kişi formasında tək")</f>
        <v>Bağlayıcı waw :: Fe'l - Hifil - Ardıcıl natamam - üçüncü şəxs kişi formasında tək</v>
      </c>
      <c r="K281" s="5" t="str">
        <f>IFERROR(__xludf.DUMMYFUNCTION("GOOGLETRANSLATE(H281,""en"",""az"")"),"və o, doğdu")</f>
        <v>və o, doğdu</v>
      </c>
    </row>
    <row r="282">
      <c r="A282" s="1" t="s">
        <v>9</v>
      </c>
      <c r="B282" s="1">
        <v>5.0</v>
      </c>
      <c r="C282" s="1">
        <v>25.0</v>
      </c>
      <c r="D282" s="1">
        <v>9.0</v>
      </c>
      <c r="E282" s="2" t="s">
        <v>79</v>
      </c>
      <c r="F282" s="3" t="s">
        <v>80</v>
      </c>
      <c r="G282" s="4">
        <v>853.0</v>
      </c>
      <c r="H282" s="3" t="s">
        <v>81</v>
      </c>
      <c r="I282" s="3" t="s">
        <v>82</v>
      </c>
      <c r="J282" s="5" t="str">
        <f>IFERROR(__xludf.DUMMYFUNCTION("GOOGLETRANSLATE(I282,""en"",""az"")"),"Birbaşa obyekt marker")</f>
        <v>Birbaşa obyekt marker</v>
      </c>
      <c r="K282" s="5" t="str">
        <f>IFERROR(__xludf.DUMMYFUNCTION("GOOGLETRANSLATE(H282,""en"",""az"")"),"-")</f>
        <v>-</v>
      </c>
    </row>
    <row r="283">
      <c r="A283" s="1" t="s">
        <v>9</v>
      </c>
      <c r="B283" s="1">
        <v>5.0</v>
      </c>
      <c r="C283" s="1">
        <v>25.0</v>
      </c>
      <c r="D283" s="1">
        <v>10.0</v>
      </c>
      <c r="E283" s="2" t="s">
        <v>360</v>
      </c>
      <c r="F283" s="3" t="s">
        <v>361</v>
      </c>
      <c r="G283" s="4">
        <v>3929.0</v>
      </c>
      <c r="H283" s="3" t="s">
        <v>362</v>
      </c>
      <c r="I283" s="3" t="s">
        <v>25</v>
      </c>
      <c r="J283" s="5" t="str">
        <f>IFERROR(__xludf.DUMMYFUNCTION("GOOGLETRANSLATE(I283,""en"",""az"")"),"İsim - xüsusi - kişi cinsində tək")</f>
        <v>İsim - xüsusi - kişi cinsində tək</v>
      </c>
      <c r="K283" s="5" t="str">
        <f>IFERROR(__xludf.DUMMYFUNCTION("GOOGLETRANSLATE(H283,""en"",""az"")"),"Lamek")</f>
        <v>Lamek</v>
      </c>
    </row>
    <row r="284">
      <c r="A284" s="1" t="s">
        <v>9</v>
      </c>
      <c r="B284" s="1">
        <v>5.0</v>
      </c>
      <c r="C284" s="1">
        <v>26.0</v>
      </c>
      <c r="D284" s="1">
        <v>1.0</v>
      </c>
      <c r="E284" s="2" t="s">
        <v>96</v>
      </c>
      <c r="F284" s="3" t="s">
        <v>97</v>
      </c>
      <c r="G284" s="4">
        <v>2421.0</v>
      </c>
      <c r="H284" s="3" t="s">
        <v>98</v>
      </c>
      <c r="I284" s="3" t="s">
        <v>78</v>
      </c>
      <c r="J284" s="5" t="str">
        <f>IFERROR(__xludf.DUMMYFUNCTION("GOOGLETRANSLATE(I284,""en"",""az"")"),"Bağlayıcı waw :: Feil - Qal - Ardıcıl natamam - üçüncü şəxs kişi halında tək")</f>
        <v>Bağlayıcı waw :: Feil - Qal - Ardıcıl natamam - üçüncü şəxs kişi halında tək</v>
      </c>
      <c r="K284" s="5" t="str">
        <f>IFERROR(__xludf.DUMMYFUNCTION("GOOGLETRANSLATE(H284,""en"",""az"")"),"Və yaşadı")</f>
        <v>Və yaşadı</v>
      </c>
    </row>
    <row r="285">
      <c r="A285" s="1" t="s">
        <v>9</v>
      </c>
      <c r="B285" s="1">
        <v>5.0</v>
      </c>
      <c r="C285" s="1">
        <v>26.0</v>
      </c>
      <c r="D285" s="1">
        <v>2.0</v>
      </c>
      <c r="E285" s="2" t="s">
        <v>363</v>
      </c>
      <c r="F285" s="3" t="s">
        <v>323</v>
      </c>
      <c r="G285" s="4">
        <v>4968.0</v>
      </c>
      <c r="H285" s="3" t="s">
        <v>311</v>
      </c>
      <c r="I285" s="3" t="s">
        <v>25</v>
      </c>
      <c r="J285" s="5" t="str">
        <f>IFERROR(__xludf.DUMMYFUNCTION("GOOGLETRANSLATE(I285,""en"",""az"")"),"İsim - xüsusi - kişi cinsində tək")</f>
        <v>İsim - xüsusi - kişi cinsində tək</v>
      </c>
      <c r="K285" s="5" t="str">
        <f>IFERROR(__xludf.DUMMYFUNCTION("GOOGLETRANSLATE(H285,""en"",""az"")"),"Metuşelah")</f>
        <v>Metuşelah</v>
      </c>
    </row>
    <row r="286">
      <c r="A286" s="1" t="s">
        <v>9</v>
      </c>
      <c r="B286" s="1">
        <v>5.0</v>
      </c>
      <c r="C286" s="1">
        <v>26.0</v>
      </c>
      <c r="D286" s="1">
        <v>3.0</v>
      </c>
      <c r="E286" s="2" t="s">
        <v>190</v>
      </c>
      <c r="F286" s="3" t="s">
        <v>191</v>
      </c>
      <c r="G286" s="4">
        <v>310.0</v>
      </c>
      <c r="H286" s="3" t="s">
        <v>192</v>
      </c>
      <c r="I286" s="3" t="s">
        <v>193</v>
      </c>
      <c r="J286" s="5" t="str">
        <f>IFERROR(__xludf.DUMMYFUNCTION("GOOGLETRANSLATE(I286,""en"",""az"")"),"Sözönü")</f>
        <v>Sözönü</v>
      </c>
      <c r="K286" s="5" t="str">
        <f>IFERROR(__xludf.DUMMYFUNCTION("GOOGLETRANSLATE(H286,""en"",""az"")"),"sonra")</f>
        <v>sonra</v>
      </c>
    </row>
    <row r="287">
      <c r="A287" s="1" t="s">
        <v>9</v>
      </c>
      <c r="B287" s="1">
        <v>5.0</v>
      </c>
      <c r="C287" s="1">
        <v>26.0</v>
      </c>
      <c r="D287" s="1">
        <v>4.0</v>
      </c>
      <c r="E287" s="2" t="s">
        <v>194</v>
      </c>
      <c r="F287" s="3" t="s">
        <v>195</v>
      </c>
      <c r="G287" s="4">
        <v>3205.0</v>
      </c>
      <c r="H287" s="3" t="s">
        <v>196</v>
      </c>
      <c r="I287" s="3" t="s">
        <v>197</v>
      </c>
      <c r="J287" s="5" t="str">
        <f>IFERROR(__xludf.DUMMYFUNCTION("GOOGLETRANSLATE(I287,""en"",""az"")"),"Fe'l - Hifil - Məsdər konstruksiyası :: üçüncü şəxs kişi formasında tək")</f>
        <v>Fe'l - Hifil - Məsdər konstruksiyası :: üçüncü şəxs kişi formasında tək</v>
      </c>
      <c r="K287" s="5" t="str">
        <f>IFERROR(__xludf.DUMMYFUNCTION("GOOGLETRANSLATE(H287,""en"",""az"")"),"o doğdu")</f>
        <v>o doğdu</v>
      </c>
    </row>
    <row r="288">
      <c r="A288" s="1" t="s">
        <v>9</v>
      </c>
      <c r="B288" s="1">
        <v>5.0</v>
      </c>
      <c r="C288" s="1">
        <v>26.0</v>
      </c>
      <c r="D288" s="1">
        <v>5.0</v>
      </c>
      <c r="E288" s="2" t="s">
        <v>79</v>
      </c>
      <c r="F288" s="3" t="s">
        <v>80</v>
      </c>
      <c r="G288" s="4">
        <v>853.0</v>
      </c>
      <c r="H288" s="3" t="s">
        <v>81</v>
      </c>
      <c r="I288" s="3" t="s">
        <v>82</v>
      </c>
      <c r="J288" s="5" t="str">
        <f>IFERROR(__xludf.DUMMYFUNCTION("GOOGLETRANSLATE(I288,""en"",""az"")"),"Birbaşa obyekt marker")</f>
        <v>Birbaşa obyekt marker</v>
      </c>
      <c r="K288" s="5" t="str">
        <f>IFERROR(__xludf.DUMMYFUNCTION("GOOGLETRANSLATE(H288,""en"",""az"")"),"-")</f>
        <v>-</v>
      </c>
    </row>
    <row r="289">
      <c r="A289" s="1" t="s">
        <v>9</v>
      </c>
      <c r="B289" s="1">
        <v>5.0</v>
      </c>
      <c r="C289" s="1">
        <v>26.0</v>
      </c>
      <c r="D289" s="1">
        <v>6.0</v>
      </c>
      <c r="E289" s="2" t="s">
        <v>364</v>
      </c>
      <c r="F289" s="3" t="s">
        <v>365</v>
      </c>
      <c r="G289" s="4">
        <v>3929.0</v>
      </c>
      <c r="H289" s="3" t="s">
        <v>362</v>
      </c>
      <c r="I289" s="3" t="s">
        <v>25</v>
      </c>
      <c r="J289" s="5" t="str">
        <f>IFERROR(__xludf.DUMMYFUNCTION("GOOGLETRANSLATE(I289,""en"",""az"")"),"İsim - xüsusi - kişi cinsində tək")</f>
        <v>İsim - xüsusi - kişi cinsində tək</v>
      </c>
      <c r="K289" s="5" t="str">
        <f>IFERROR(__xludf.DUMMYFUNCTION("GOOGLETRANSLATE(H289,""en"",""az"")"),"Lamek")</f>
        <v>Lamek</v>
      </c>
    </row>
    <row r="290">
      <c r="A290" s="1" t="s">
        <v>9</v>
      </c>
      <c r="B290" s="1">
        <v>5.0</v>
      </c>
      <c r="C290" s="1">
        <v>26.0</v>
      </c>
      <c r="D290" s="1">
        <v>7.0</v>
      </c>
      <c r="E290" s="2" t="s">
        <v>304</v>
      </c>
      <c r="F290" s="3" t="s">
        <v>290</v>
      </c>
      <c r="G290" s="4">
        <v>8147.0</v>
      </c>
      <c r="H290" s="3" t="s">
        <v>224</v>
      </c>
      <c r="I290" s="3" t="s">
        <v>225</v>
      </c>
      <c r="J290" s="5" t="str">
        <f>IFERROR(__xludf.DUMMYFUNCTION("GOOGLETRANSLATE(I290,""en"",""az"")"),"Nömrə - fd")</f>
        <v>Nömrə - fd</v>
      </c>
      <c r="K290" s="5" t="str">
        <f>IFERROR(__xludf.DUMMYFUNCTION("GOOGLETRANSLATE(H290,""en"",""az"")"),"iki")</f>
        <v>iki</v>
      </c>
    </row>
    <row r="291">
      <c r="A291" s="1" t="s">
        <v>9</v>
      </c>
      <c r="B291" s="1">
        <v>5.0</v>
      </c>
      <c r="C291" s="1">
        <v>26.0</v>
      </c>
      <c r="D291" s="1">
        <v>8.0</v>
      </c>
      <c r="E291" s="2" t="s">
        <v>366</v>
      </c>
      <c r="F291" s="3" t="s">
        <v>367</v>
      </c>
      <c r="G291" s="4">
        <v>8084.0</v>
      </c>
      <c r="H291" s="3" t="s">
        <v>359</v>
      </c>
      <c r="I291" s="3" t="s">
        <v>165</v>
      </c>
      <c r="J291" s="5" t="str">
        <f>IFERROR(__xludf.DUMMYFUNCTION("GOOGLETRANSLATE(I291,""en"",""az"")"),"Bağlayıcı waw :: Say - ümumi cəm")</f>
        <v>Bağlayıcı waw :: Say - ümumi cəm</v>
      </c>
      <c r="K291" s="5" t="str">
        <f>IFERROR(__xludf.DUMMYFUNCTION("GOOGLETRANSLATE(H291,""en"",""az"")"),"və səksən")</f>
        <v>və səksən</v>
      </c>
    </row>
    <row r="292">
      <c r="A292" s="1" t="s">
        <v>9</v>
      </c>
      <c r="B292" s="1">
        <v>5.0</v>
      </c>
      <c r="C292" s="1">
        <v>26.0</v>
      </c>
      <c r="D292" s="1">
        <v>9.0</v>
      </c>
      <c r="E292" s="2" t="s">
        <v>109</v>
      </c>
      <c r="F292" s="3" t="s">
        <v>110</v>
      </c>
      <c r="G292" s="4">
        <v>8141.0</v>
      </c>
      <c r="H292" s="3" t="s">
        <v>111</v>
      </c>
      <c r="I292" s="3" t="s">
        <v>112</v>
      </c>
      <c r="J292" s="5" t="str">
        <f>IFERROR(__xludf.DUMMYFUNCTION("GOOGLETRANSLATE(I292,""en"",""az"")"),"İsim - qadın cinsi tək")</f>
        <v>İsim - qadın cinsi tək</v>
      </c>
      <c r="K292" s="5" t="str">
        <f>IFERROR(__xludf.DUMMYFUNCTION("GOOGLETRANSLATE(H292,""en"",""az"")"),"illər")</f>
        <v>illər</v>
      </c>
    </row>
    <row r="293">
      <c r="A293" s="1" t="s">
        <v>9</v>
      </c>
      <c r="B293" s="1">
        <v>5.0</v>
      </c>
      <c r="C293" s="1">
        <v>26.0</v>
      </c>
      <c r="D293" s="1">
        <v>10.0</v>
      </c>
      <c r="E293" s="2" t="s">
        <v>368</v>
      </c>
      <c r="F293" s="3" t="s">
        <v>369</v>
      </c>
      <c r="G293" s="4">
        <v>7651.0</v>
      </c>
      <c r="H293" s="3" t="s">
        <v>370</v>
      </c>
      <c r="I293" s="3" t="s">
        <v>108</v>
      </c>
      <c r="J293" s="5" t="str">
        <f>IFERROR(__xludf.DUMMYFUNCTION("GOOGLETRANSLATE(I293,""en"",""az"")"),"Konyunktiv waw :: Say - qadınlıq tək konstruksiyası")</f>
        <v>Konyunktiv waw :: Say - qadınlıq tək konstruksiyası</v>
      </c>
      <c r="K293" s="5" t="str">
        <f>IFERROR(__xludf.DUMMYFUNCTION("GOOGLETRANSLATE(H293,""en"",""az"")"),"və yeddi")</f>
        <v>və yeddi</v>
      </c>
    </row>
    <row r="294">
      <c r="A294" s="1" t="s">
        <v>9</v>
      </c>
      <c r="B294" s="1">
        <v>5.0</v>
      </c>
      <c r="C294" s="1">
        <v>26.0</v>
      </c>
      <c r="D294" s="1">
        <v>11.0</v>
      </c>
      <c r="E294" s="2" t="s">
        <v>209</v>
      </c>
      <c r="F294" s="3" t="s">
        <v>159</v>
      </c>
      <c r="G294" s="4">
        <v>3967.0</v>
      </c>
      <c r="H294" s="3" t="s">
        <v>160</v>
      </c>
      <c r="I294" s="3" t="s">
        <v>161</v>
      </c>
      <c r="J294" s="5" t="str">
        <f>IFERROR(__xludf.DUMMYFUNCTION("GOOGLETRANSLATE(I294,""en"",""az"")"),"Say - qadın cəm")</f>
        <v>Say - qadın cəm</v>
      </c>
      <c r="K294" s="5" t="str">
        <f>IFERROR(__xludf.DUMMYFUNCTION("GOOGLETRANSLATE(H294,""en"",""az"")"),"yüz")</f>
        <v>yüz</v>
      </c>
    </row>
    <row r="295">
      <c r="A295" s="1" t="s">
        <v>9</v>
      </c>
      <c r="B295" s="1">
        <v>5.0</v>
      </c>
      <c r="C295" s="1">
        <v>26.0</v>
      </c>
      <c r="D295" s="1">
        <v>12.0</v>
      </c>
      <c r="E295" s="2" t="s">
        <v>166</v>
      </c>
      <c r="F295" s="3" t="s">
        <v>167</v>
      </c>
      <c r="G295" s="4">
        <v>8141.0</v>
      </c>
      <c r="H295" s="3" t="s">
        <v>111</v>
      </c>
      <c r="I295" s="3" t="s">
        <v>112</v>
      </c>
      <c r="J295" s="5" t="str">
        <f>IFERROR(__xludf.DUMMYFUNCTION("GOOGLETRANSLATE(I295,""en"",""az"")"),"İsim - qadın cinsi tək")</f>
        <v>İsim - qadın cinsi tək</v>
      </c>
      <c r="K295" s="5" t="str">
        <f>IFERROR(__xludf.DUMMYFUNCTION("GOOGLETRANSLATE(H295,""en"",""az"")"),"illər")</f>
        <v>illər</v>
      </c>
    </row>
    <row r="296">
      <c r="A296" s="1" t="s">
        <v>9</v>
      </c>
      <c r="B296" s="1">
        <v>5.0</v>
      </c>
      <c r="C296" s="1">
        <v>26.0</v>
      </c>
      <c r="D296" s="1">
        <v>13.0</v>
      </c>
      <c r="E296" s="2" t="s">
        <v>113</v>
      </c>
      <c r="F296" s="3" t="s">
        <v>114</v>
      </c>
      <c r="G296" s="4">
        <v>3205.0</v>
      </c>
      <c r="H296" s="3" t="s">
        <v>184</v>
      </c>
      <c r="I296" s="3" t="s">
        <v>116</v>
      </c>
      <c r="J296" s="5" t="str">
        <f>IFERROR(__xludf.DUMMYFUNCTION("GOOGLETRANSLATE(I296,""en"",""az"")"),"Bağlayıcı waw :: Fe'l - Hifil - Ardıcıl natamam - üçüncü şəxs kişi formasında tək")</f>
        <v>Bağlayıcı waw :: Fe'l - Hifil - Ardıcıl natamam - üçüncü şəxs kişi formasında tək</v>
      </c>
      <c r="K296" s="5" t="str">
        <f>IFERROR(__xludf.DUMMYFUNCTION("GOOGLETRANSLATE(H296,""en"",""az"")"),"və o, doğdu")</f>
        <v>və o, doğdu</v>
      </c>
    </row>
    <row r="297">
      <c r="A297" s="1" t="s">
        <v>9</v>
      </c>
      <c r="B297" s="1">
        <v>5.0</v>
      </c>
      <c r="C297" s="1">
        <v>26.0</v>
      </c>
      <c r="D297" s="1">
        <v>14.0</v>
      </c>
      <c r="E297" s="2" t="s">
        <v>210</v>
      </c>
      <c r="F297" s="3" t="s">
        <v>211</v>
      </c>
      <c r="G297" s="4">
        <v>1121.0</v>
      </c>
      <c r="H297" s="3" t="s">
        <v>212</v>
      </c>
      <c r="I297" s="3" t="s">
        <v>37</v>
      </c>
      <c r="J297" s="5" t="str">
        <f>IFERROR(__xludf.DUMMYFUNCTION("GOOGLETRANSLATE(I297,""en"",""az"")"),"İsim - kişi cəm halı")</f>
        <v>İsim - kişi cəm halı</v>
      </c>
      <c r="K297" s="5" t="str">
        <f>IFERROR(__xludf.DUMMYFUNCTION("GOOGLETRANSLATE(H297,""en"",""az"")"),"oğullar")</f>
        <v>oğullar</v>
      </c>
    </row>
    <row r="298">
      <c r="A298" s="1" t="s">
        <v>9</v>
      </c>
      <c r="B298" s="1">
        <v>5.0</v>
      </c>
      <c r="C298" s="1">
        <v>26.0</v>
      </c>
      <c r="D298" s="1">
        <v>15.0</v>
      </c>
      <c r="E298" s="2" t="s">
        <v>213</v>
      </c>
      <c r="F298" s="3" t="s">
        <v>214</v>
      </c>
      <c r="G298" s="4">
        <v>1323.0</v>
      </c>
      <c r="H298" s="3" t="s">
        <v>215</v>
      </c>
      <c r="I298" s="3" t="s">
        <v>216</v>
      </c>
      <c r="J298" s="5" t="str">
        <f>IFERROR(__xludf.DUMMYFUNCTION("GOOGLETRANSLATE(I298,""en"",""az"")"),"Conjunctive waw :: Noun - qadın cəm")</f>
        <v>Conjunctive waw :: Noun - qadın cəm</v>
      </c>
      <c r="K298" s="5" t="str">
        <f>IFERROR(__xludf.DUMMYFUNCTION("GOOGLETRANSLATE(H298,""en"",""az"")"),"və qızları")</f>
        <v>və qızları</v>
      </c>
    </row>
    <row r="299">
      <c r="A299" s="1" t="s">
        <v>9</v>
      </c>
      <c r="B299" s="1">
        <v>5.0</v>
      </c>
      <c r="C299" s="1">
        <v>27.0</v>
      </c>
      <c r="D299" s="1">
        <v>1.0</v>
      </c>
      <c r="E299" s="2" t="s">
        <v>280</v>
      </c>
      <c r="F299" s="3" t="s">
        <v>135</v>
      </c>
      <c r="G299" s="4">
        <v>1961.0</v>
      </c>
      <c r="H299" s="3" t="s">
        <v>136</v>
      </c>
      <c r="I299" s="3" t="s">
        <v>137</v>
      </c>
      <c r="J299" s="5" t="str">
        <f>IFERROR(__xludf.DUMMYFUNCTION("GOOGLETRANSLATE(I299,""en"",""az"")"),"Bağlayıcı waw :: Feil - Qal - Ardıcıl natamam - üçüncü şəxs kişi formasında cəm")</f>
        <v>Bağlayıcı waw :: Feil - Qal - Ardıcıl natamam - üçüncü şəxs kişi formasında cəm</v>
      </c>
      <c r="K299" s="5" t="str">
        <f>IFERROR(__xludf.DUMMYFUNCTION("GOOGLETRANSLATE(H299,""en"",""az"")"),"Elə idilər də")</f>
        <v>Elə idilər də</v>
      </c>
    </row>
    <row r="300">
      <c r="A300" s="1" t="s">
        <v>9</v>
      </c>
      <c r="B300" s="1">
        <v>5.0</v>
      </c>
      <c r="C300" s="1">
        <v>27.0</v>
      </c>
      <c r="D300" s="1">
        <v>2.0</v>
      </c>
      <c r="E300" s="2" t="s">
        <v>138</v>
      </c>
      <c r="F300" s="3" t="s">
        <v>139</v>
      </c>
      <c r="G300" s="4">
        <v>3605.0</v>
      </c>
      <c r="H300" s="3" t="s">
        <v>140</v>
      </c>
      <c r="I300" s="3" t="s">
        <v>17</v>
      </c>
      <c r="J300" s="5" t="str">
        <f>IFERROR(__xludf.DUMMYFUNCTION("GOOGLETRANSLATE(I300,""en"",""az"")"),"İsim - kişi cinsində tək konstruksiya")</f>
        <v>İsim - kişi cinsində tək konstruksiya</v>
      </c>
      <c r="K300" s="5" t="str">
        <f>IFERROR(__xludf.DUMMYFUNCTION("GOOGLETRANSLATE(H300,""en"",""az"")"),"hamısı")</f>
        <v>hamısı</v>
      </c>
    </row>
    <row r="301">
      <c r="A301" s="1" t="s">
        <v>9</v>
      </c>
      <c r="B301" s="1">
        <v>5.0</v>
      </c>
      <c r="C301" s="1">
        <v>27.0</v>
      </c>
      <c r="D301" s="1">
        <v>3.0</v>
      </c>
      <c r="E301" s="2" t="s">
        <v>247</v>
      </c>
      <c r="F301" s="3" t="s">
        <v>142</v>
      </c>
      <c r="G301" s="4">
        <v>3117.0</v>
      </c>
      <c r="H301" s="3" t="s">
        <v>143</v>
      </c>
      <c r="I301" s="3" t="s">
        <v>144</v>
      </c>
      <c r="J301" s="5" t="str">
        <f>IFERROR(__xludf.DUMMYFUNCTION("GOOGLETRANSLATE(I301,""en"",""az"")"),"İsim - kişi cəm forması")</f>
        <v>İsim - kişi cəm forması</v>
      </c>
      <c r="K301" s="5" t="str">
        <f>IFERROR(__xludf.DUMMYFUNCTION("GOOGLETRANSLATE(H301,""en"",""az"")"),"günlər")</f>
        <v>günlər</v>
      </c>
    </row>
    <row r="302">
      <c r="A302" s="1" t="s">
        <v>9</v>
      </c>
      <c r="B302" s="1">
        <v>5.0</v>
      </c>
      <c r="C302" s="1">
        <v>27.0</v>
      </c>
      <c r="D302" s="1">
        <v>4.0</v>
      </c>
      <c r="E302" s="2" t="s">
        <v>322</v>
      </c>
      <c r="F302" s="3" t="s">
        <v>323</v>
      </c>
      <c r="G302" s="4">
        <v>4968.0</v>
      </c>
      <c r="H302" s="3" t="s">
        <v>371</v>
      </c>
      <c r="I302" s="3" t="s">
        <v>25</v>
      </c>
      <c r="J302" s="5" t="str">
        <f>IFERROR(__xludf.DUMMYFUNCTION("GOOGLETRANSLATE(I302,""en"",""az"")"),"İsim - xüsusi - kişi cinsində tək")</f>
        <v>İsim - xüsusi - kişi cinsində tək</v>
      </c>
      <c r="K302" s="5" t="str">
        <f>IFERROR(__xludf.DUMMYFUNCTION("GOOGLETRANSLATE(H302,""en"",""az"")"),"Metuşelahın")</f>
        <v>Metuşelahın</v>
      </c>
    </row>
    <row r="303">
      <c r="A303" s="1" t="s">
        <v>9</v>
      </c>
      <c r="B303" s="1">
        <v>5.0</v>
      </c>
      <c r="C303" s="1">
        <v>27.0</v>
      </c>
      <c r="D303" s="1">
        <v>5.0</v>
      </c>
      <c r="E303" s="2" t="s">
        <v>372</v>
      </c>
      <c r="F303" s="3" t="s">
        <v>373</v>
      </c>
      <c r="G303" s="4">
        <v>8672.0</v>
      </c>
      <c r="H303" s="3" t="s">
        <v>156</v>
      </c>
      <c r="I303" s="3" t="s">
        <v>178</v>
      </c>
      <c r="J303" s="5" t="str">
        <f>IFERROR(__xludf.DUMMYFUNCTION("GOOGLETRANSLATE(I303,""en"",""az"")"),"Say - qadın tək")</f>
        <v>Say - qadın tək</v>
      </c>
      <c r="K303" s="5" t="str">
        <f>IFERROR(__xludf.DUMMYFUNCTION("GOOGLETRANSLATE(H303,""en"",""az"")"),"doqquz")</f>
        <v>doqquz</v>
      </c>
    </row>
    <row r="304">
      <c r="A304" s="1" t="s">
        <v>9</v>
      </c>
      <c r="B304" s="1">
        <v>5.0</v>
      </c>
      <c r="C304" s="1">
        <v>27.0</v>
      </c>
      <c r="D304" s="1">
        <v>6.0</v>
      </c>
      <c r="E304" s="2" t="s">
        <v>305</v>
      </c>
      <c r="F304" s="3" t="s">
        <v>271</v>
      </c>
      <c r="G304" s="4">
        <v>8346.0</v>
      </c>
      <c r="H304" s="3" t="s">
        <v>272</v>
      </c>
      <c r="I304" s="3" t="s">
        <v>165</v>
      </c>
      <c r="J304" s="5" t="str">
        <f>IFERROR(__xludf.DUMMYFUNCTION("GOOGLETRANSLATE(I304,""en"",""az"")"),"Bağlayıcı waw :: Say - ümumi cəm")</f>
        <v>Bağlayıcı waw :: Say - ümumi cəm</v>
      </c>
      <c r="K304" s="5" t="str">
        <f>IFERROR(__xludf.DUMMYFUNCTION("GOOGLETRANSLATE(H304,""en"",""az"")"),"və altmış")</f>
        <v>və altmış</v>
      </c>
    </row>
    <row r="305">
      <c r="A305" s="1" t="s">
        <v>9</v>
      </c>
      <c r="B305" s="1">
        <v>5.0</v>
      </c>
      <c r="C305" s="1">
        <v>27.0</v>
      </c>
      <c r="D305" s="1">
        <v>7.0</v>
      </c>
      <c r="E305" s="2" t="s">
        <v>109</v>
      </c>
      <c r="F305" s="3" t="s">
        <v>110</v>
      </c>
      <c r="G305" s="4">
        <v>8141.0</v>
      </c>
      <c r="H305" s="3" t="s">
        <v>111</v>
      </c>
      <c r="I305" s="3" t="s">
        <v>112</v>
      </c>
      <c r="J305" s="5" t="str">
        <f>IFERROR(__xludf.DUMMYFUNCTION("GOOGLETRANSLATE(I305,""en"",""az"")"),"İsim - qadın cinsi tək")</f>
        <v>İsim - qadın cinsi tək</v>
      </c>
      <c r="K305" s="5" t="str">
        <f>IFERROR(__xludf.DUMMYFUNCTION("GOOGLETRANSLATE(H305,""en"",""az"")"),"illər")</f>
        <v>illər</v>
      </c>
    </row>
    <row r="306">
      <c r="A306" s="1" t="s">
        <v>9</v>
      </c>
      <c r="B306" s="1">
        <v>5.0</v>
      </c>
      <c r="C306" s="1">
        <v>27.0</v>
      </c>
      <c r="D306" s="1">
        <v>8.0</v>
      </c>
      <c r="E306" s="2" t="s">
        <v>229</v>
      </c>
      <c r="F306" s="3" t="s">
        <v>230</v>
      </c>
      <c r="G306" s="4">
        <v>8672.0</v>
      </c>
      <c r="H306" s="3" t="s">
        <v>231</v>
      </c>
      <c r="I306" s="3" t="s">
        <v>108</v>
      </c>
      <c r="J306" s="5" t="str">
        <f>IFERROR(__xludf.DUMMYFUNCTION("GOOGLETRANSLATE(I306,""en"",""az"")"),"Konyunktiv waw :: Say - qadınlıq tək konstruksiyası")</f>
        <v>Konyunktiv waw :: Say - qadınlıq tək konstruksiyası</v>
      </c>
      <c r="K306" s="5" t="str">
        <f>IFERROR(__xludf.DUMMYFUNCTION("GOOGLETRANSLATE(H306,""en"",""az"")"),"və doqquz")</f>
        <v>və doqquz</v>
      </c>
    </row>
    <row r="307">
      <c r="A307" s="1" t="s">
        <v>9</v>
      </c>
      <c r="B307" s="1">
        <v>5.0</v>
      </c>
      <c r="C307" s="1">
        <v>27.0</v>
      </c>
      <c r="D307" s="1">
        <v>9.0</v>
      </c>
      <c r="E307" s="2" t="s">
        <v>209</v>
      </c>
      <c r="F307" s="3" t="s">
        <v>159</v>
      </c>
      <c r="G307" s="4">
        <v>3967.0</v>
      </c>
      <c r="H307" s="3" t="s">
        <v>160</v>
      </c>
      <c r="I307" s="3" t="s">
        <v>161</v>
      </c>
      <c r="J307" s="5" t="str">
        <f>IFERROR(__xludf.DUMMYFUNCTION("GOOGLETRANSLATE(I307,""en"",""az"")"),"Say - qadın cəm")</f>
        <v>Say - qadın cəm</v>
      </c>
      <c r="K307" s="5" t="str">
        <f>IFERROR(__xludf.DUMMYFUNCTION("GOOGLETRANSLATE(H307,""en"",""az"")"),"yüz")</f>
        <v>yüz</v>
      </c>
    </row>
    <row r="308">
      <c r="A308" s="1" t="s">
        <v>9</v>
      </c>
      <c r="B308" s="1">
        <v>5.0</v>
      </c>
      <c r="C308" s="1">
        <v>27.0</v>
      </c>
      <c r="D308" s="1">
        <v>10.0</v>
      </c>
      <c r="E308" s="2" t="s">
        <v>166</v>
      </c>
      <c r="F308" s="3" t="s">
        <v>167</v>
      </c>
      <c r="G308" s="4">
        <v>8141.0</v>
      </c>
      <c r="H308" s="3" t="s">
        <v>111</v>
      </c>
      <c r="I308" s="3" t="s">
        <v>112</v>
      </c>
      <c r="J308" s="5" t="str">
        <f>IFERROR(__xludf.DUMMYFUNCTION("GOOGLETRANSLATE(I308,""en"",""az"")"),"İsim - qadın cinsi tək")</f>
        <v>İsim - qadın cinsi tək</v>
      </c>
      <c r="K308" s="5" t="str">
        <f>IFERROR(__xludf.DUMMYFUNCTION("GOOGLETRANSLATE(H308,""en"",""az"")"),"illər")</f>
        <v>illər</v>
      </c>
    </row>
    <row r="309">
      <c r="A309" s="1" t="s">
        <v>9</v>
      </c>
      <c r="B309" s="1">
        <v>5.0</v>
      </c>
      <c r="C309" s="1">
        <v>27.0</v>
      </c>
      <c r="D309" s="1">
        <v>11.0</v>
      </c>
      <c r="E309" s="2" t="s">
        <v>168</v>
      </c>
      <c r="F309" s="3" t="s">
        <v>169</v>
      </c>
      <c r="G309" s="4">
        <v>4191.0</v>
      </c>
      <c r="H309" s="3" t="s">
        <v>170</v>
      </c>
      <c r="I309" s="3" t="s">
        <v>78</v>
      </c>
      <c r="J309" s="5" t="str">
        <f>IFERROR(__xludf.DUMMYFUNCTION("GOOGLETRANSLATE(I309,""en"",""az"")"),"Bağlayıcı waw :: Feil - Qal - Ardıcıl natamam - üçüncü şəxs kişi halında tək")</f>
        <v>Bağlayıcı waw :: Feil - Qal - Ardıcıl natamam - üçüncü şəxs kişi halında tək</v>
      </c>
      <c r="K309" s="5" t="str">
        <f>IFERROR(__xludf.DUMMYFUNCTION("GOOGLETRANSLATE(H309,""en"",""az"")"),"və o öldü")</f>
        <v>və o öldü</v>
      </c>
    </row>
    <row r="310">
      <c r="A310" s="1" t="s">
        <v>9</v>
      </c>
      <c r="B310" s="1">
        <v>5.0</v>
      </c>
      <c r="C310" s="1">
        <v>27.0</v>
      </c>
      <c r="D310" s="1">
        <v>12.0</v>
      </c>
      <c r="E310" s="2" t="s">
        <v>306</v>
      </c>
      <c r="F310" s="3" t="s">
        <v>307</v>
      </c>
      <c r="G310" s="6"/>
      <c r="H310" s="3" t="s">
        <v>81</v>
      </c>
      <c r="I310" s="3" t="s">
        <v>95</v>
      </c>
      <c r="J310" s="5" t="str">
        <f>IFERROR(__xludf.DUMMYFUNCTION("GOOGLETRANSLATE(I310,""en"",""az"")"),"Durğu işarələri")</f>
        <v>Durğu işarələri</v>
      </c>
      <c r="K310" s="5" t="str">
        <f>IFERROR(__xludf.DUMMYFUNCTION("GOOGLETRANSLATE(H310,""en"",""az"")"),"-")</f>
        <v>-</v>
      </c>
    </row>
    <row r="311">
      <c r="A311" s="1" t="s">
        <v>9</v>
      </c>
      <c r="B311" s="1">
        <v>5.0</v>
      </c>
      <c r="C311" s="1">
        <v>28.0</v>
      </c>
      <c r="D311" s="1">
        <v>1.0</v>
      </c>
      <c r="E311" s="2" t="s">
        <v>171</v>
      </c>
      <c r="F311" s="3" t="s">
        <v>172</v>
      </c>
      <c r="G311" s="4">
        <v>2421.0</v>
      </c>
      <c r="H311" s="3" t="s">
        <v>98</v>
      </c>
      <c r="I311" s="3" t="s">
        <v>78</v>
      </c>
      <c r="J311" s="5" t="str">
        <f>IFERROR(__xludf.DUMMYFUNCTION("GOOGLETRANSLATE(I311,""en"",""az"")"),"Bağlayıcı waw :: Feil - Qal - Ardıcıl natamam - üçüncü şəxs kişi halında tək")</f>
        <v>Bağlayıcı waw :: Feil - Qal - Ardıcıl natamam - üçüncü şəxs kişi halında tək</v>
      </c>
      <c r="K311" s="5" t="str">
        <f>IFERROR(__xludf.DUMMYFUNCTION("GOOGLETRANSLATE(H311,""en"",""az"")"),"Və yaşadı")</f>
        <v>Və yaşadı</v>
      </c>
    </row>
    <row r="312">
      <c r="A312" s="1" t="s">
        <v>9</v>
      </c>
      <c r="B312" s="1">
        <v>5.0</v>
      </c>
      <c r="C312" s="1">
        <v>28.0</v>
      </c>
      <c r="D312" s="1">
        <v>2.0</v>
      </c>
      <c r="E312" s="2" t="s">
        <v>374</v>
      </c>
      <c r="F312" s="3" t="s">
        <v>375</v>
      </c>
      <c r="G312" s="4">
        <v>3929.0</v>
      </c>
      <c r="H312" s="3" t="s">
        <v>362</v>
      </c>
      <c r="I312" s="3" t="s">
        <v>25</v>
      </c>
      <c r="J312" s="5" t="str">
        <f>IFERROR(__xludf.DUMMYFUNCTION("GOOGLETRANSLATE(I312,""en"",""az"")"),"İsim - xüsusi - kişi cinsində tək")</f>
        <v>İsim - xüsusi - kişi cinsində tək</v>
      </c>
      <c r="K312" s="5" t="str">
        <f>IFERROR(__xludf.DUMMYFUNCTION("GOOGLETRANSLATE(H312,""en"",""az"")"),"Lamek")</f>
        <v>Lamek</v>
      </c>
    </row>
    <row r="313">
      <c r="A313" s="1" t="s">
        <v>9</v>
      </c>
      <c r="B313" s="1">
        <v>5.0</v>
      </c>
      <c r="C313" s="1">
        <v>28.0</v>
      </c>
      <c r="D313" s="1">
        <v>3.0</v>
      </c>
      <c r="E313" s="2" t="s">
        <v>289</v>
      </c>
      <c r="F313" s="3" t="s">
        <v>290</v>
      </c>
      <c r="G313" s="4">
        <v>8147.0</v>
      </c>
      <c r="H313" s="3" t="s">
        <v>224</v>
      </c>
      <c r="I313" s="3" t="s">
        <v>225</v>
      </c>
      <c r="J313" s="5" t="str">
        <f>IFERROR(__xludf.DUMMYFUNCTION("GOOGLETRANSLATE(I313,""en"",""az"")"),"Nömrə - fd")</f>
        <v>Nömrə - fd</v>
      </c>
      <c r="K313" s="5" t="str">
        <f>IFERROR(__xludf.DUMMYFUNCTION("GOOGLETRANSLATE(H313,""en"",""az"")"),"iki")</f>
        <v>iki</v>
      </c>
    </row>
    <row r="314">
      <c r="A314" s="1" t="s">
        <v>9</v>
      </c>
      <c r="B314" s="1">
        <v>5.0</v>
      </c>
      <c r="C314" s="1">
        <v>28.0</v>
      </c>
      <c r="D314" s="1">
        <v>4.0</v>
      </c>
      <c r="E314" s="2" t="s">
        <v>357</v>
      </c>
      <c r="F314" s="3" t="s">
        <v>358</v>
      </c>
      <c r="G314" s="4">
        <v>8084.0</v>
      </c>
      <c r="H314" s="3" t="s">
        <v>359</v>
      </c>
      <c r="I314" s="3" t="s">
        <v>165</v>
      </c>
      <c r="J314" s="5" t="str">
        <f>IFERROR(__xludf.DUMMYFUNCTION("GOOGLETRANSLATE(I314,""en"",""az"")"),"Bağlayıcı waw :: Say - ümumi cəm")</f>
        <v>Bağlayıcı waw :: Say - ümumi cəm</v>
      </c>
      <c r="K314" s="5" t="str">
        <f>IFERROR(__xludf.DUMMYFUNCTION("GOOGLETRANSLATE(H314,""en"",""az"")"),"və səksən")</f>
        <v>və səksən</v>
      </c>
    </row>
    <row r="315">
      <c r="A315" s="1" t="s">
        <v>9</v>
      </c>
      <c r="B315" s="1">
        <v>5.0</v>
      </c>
      <c r="C315" s="1">
        <v>28.0</v>
      </c>
      <c r="D315" s="1">
        <v>5.0</v>
      </c>
      <c r="E315" s="2" t="s">
        <v>292</v>
      </c>
      <c r="F315" s="3" t="s">
        <v>293</v>
      </c>
      <c r="G315" s="4">
        <v>8141.0</v>
      </c>
      <c r="H315" s="3" t="s">
        <v>111</v>
      </c>
      <c r="I315" s="3" t="s">
        <v>112</v>
      </c>
      <c r="J315" s="5" t="str">
        <f>IFERROR(__xludf.DUMMYFUNCTION("GOOGLETRANSLATE(I315,""en"",""az"")"),"İsim - qadın cinsi tək")</f>
        <v>İsim - qadın cinsi tək</v>
      </c>
      <c r="K315" s="5" t="str">
        <f>IFERROR(__xludf.DUMMYFUNCTION("GOOGLETRANSLATE(H315,""en"",""az"")"),"illər")</f>
        <v>illər</v>
      </c>
    </row>
    <row r="316">
      <c r="A316" s="1" t="s">
        <v>9</v>
      </c>
      <c r="B316" s="1">
        <v>5.0</v>
      </c>
      <c r="C316" s="1">
        <v>28.0</v>
      </c>
      <c r="D316" s="1">
        <v>6.0</v>
      </c>
      <c r="E316" s="2" t="s">
        <v>182</v>
      </c>
      <c r="F316" s="3" t="s">
        <v>106</v>
      </c>
      <c r="G316" s="4">
        <v>3967.0</v>
      </c>
      <c r="H316" s="3" t="s">
        <v>107</v>
      </c>
      <c r="I316" s="3" t="s">
        <v>108</v>
      </c>
      <c r="J316" s="5" t="str">
        <f>IFERROR(__xludf.DUMMYFUNCTION("GOOGLETRANSLATE(I316,""en"",""az"")"),"Konyunktiv waw :: Say - qadınlıq tək konstruksiyası")</f>
        <v>Konyunktiv waw :: Say - qadınlıq tək konstruksiyası</v>
      </c>
      <c r="K316" s="5" t="str">
        <f>IFERROR(__xludf.DUMMYFUNCTION("GOOGLETRANSLATE(H316,""en"",""az"")"),"və yüz")</f>
        <v>və yüz</v>
      </c>
    </row>
    <row r="317">
      <c r="A317" s="1" t="s">
        <v>9</v>
      </c>
      <c r="B317" s="1">
        <v>5.0</v>
      </c>
      <c r="C317" s="1">
        <v>28.0</v>
      </c>
      <c r="D317" s="1">
        <v>7.0</v>
      </c>
      <c r="E317" s="2" t="s">
        <v>166</v>
      </c>
      <c r="F317" s="3" t="s">
        <v>167</v>
      </c>
      <c r="G317" s="4">
        <v>8141.0</v>
      </c>
      <c r="H317" s="3" t="s">
        <v>111</v>
      </c>
      <c r="I317" s="3" t="s">
        <v>112</v>
      </c>
      <c r="J317" s="5" t="str">
        <f>IFERROR(__xludf.DUMMYFUNCTION("GOOGLETRANSLATE(I317,""en"",""az"")"),"İsim - qadın cinsi tək")</f>
        <v>İsim - qadın cinsi tək</v>
      </c>
      <c r="K317" s="5" t="str">
        <f>IFERROR(__xludf.DUMMYFUNCTION("GOOGLETRANSLATE(H317,""en"",""az"")"),"illər")</f>
        <v>illər</v>
      </c>
    </row>
    <row r="318">
      <c r="A318" s="1" t="s">
        <v>9</v>
      </c>
      <c r="B318" s="1">
        <v>5.0</v>
      </c>
      <c r="C318" s="1">
        <v>28.0</v>
      </c>
      <c r="D318" s="1">
        <v>8.0</v>
      </c>
      <c r="E318" s="2" t="s">
        <v>183</v>
      </c>
      <c r="F318" s="3" t="s">
        <v>114</v>
      </c>
      <c r="G318" s="4">
        <v>3205.0</v>
      </c>
      <c r="H318" s="3" t="s">
        <v>184</v>
      </c>
      <c r="I318" s="3" t="s">
        <v>116</v>
      </c>
      <c r="J318" s="5" t="str">
        <f>IFERROR(__xludf.DUMMYFUNCTION("GOOGLETRANSLATE(I318,""en"",""az"")"),"Bağlayıcı waw :: Fe'l - Hifil - Ardıcıl natamam - üçüncü şəxs kişi formasında tək")</f>
        <v>Bağlayıcı waw :: Fe'l - Hifil - Ardıcıl natamam - üçüncü şəxs kişi formasında tək</v>
      </c>
      <c r="K318" s="5" t="str">
        <f>IFERROR(__xludf.DUMMYFUNCTION("GOOGLETRANSLATE(H318,""en"",""az"")"),"və o, doğdu")</f>
        <v>və o, doğdu</v>
      </c>
    </row>
    <row r="319">
      <c r="A319" s="1" t="s">
        <v>9</v>
      </c>
      <c r="B319" s="1">
        <v>5.0</v>
      </c>
      <c r="C319" s="1">
        <v>28.0</v>
      </c>
      <c r="D319" s="1">
        <v>9.0</v>
      </c>
      <c r="E319" s="2" t="s">
        <v>376</v>
      </c>
      <c r="F319" s="3" t="s">
        <v>377</v>
      </c>
      <c r="G319" s="4">
        <v>1121.0</v>
      </c>
      <c r="H319" s="3" t="s">
        <v>378</v>
      </c>
      <c r="I319" s="3" t="s">
        <v>41</v>
      </c>
      <c r="J319" s="5" t="str">
        <f>IFERROR(__xludf.DUMMYFUNCTION("GOOGLETRANSLATE(I319,""en"",""az"")"),"Isim - kişi cinsində tək")</f>
        <v>Isim - kişi cinsində tək</v>
      </c>
      <c r="K319" s="5" t="str">
        <f>IFERROR(__xludf.DUMMYFUNCTION("GOOGLETRANSLATE(H319,""en"",""az"")"),"bir oğul")</f>
        <v>bir oğul</v>
      </c>
    </row>
    <row r="320">
      <c r="A320" s="1" t="s">
        <v>9</v>
      </c>
      <c r="B320" s="1">
        <v>5.0</v>
      </c>
      <c r="C320" s="1">
        <v>29.0</v>
      </c>
      <c r="D320" s="1">
        <v>1.0</v>
      </c>
      <c r="E320" s="2" t="s">
        <v>379</v>
      </c>
      <c r="F320" s="3" t="s">
        <v>76</v>
      </c>
      <c r="G320" s="4">
        <v>7121.0</v>
      </c>
      <c r="H320" s="3" t="s">
        <v>380</v>
      </c>
      <c r="I320" s="3" t="s">
        <v>78</v>
      </c>
      <c r="J320" s="5" t="str">
        <f>IFERROR(__xludf.DUMMYFUNCTION("GOOGLETRANSLATE(I320,""en"",""az"")"),"Bağlayıcı waw :: Feil - Qal - Ardıcıl natamam - üçüncü şəxs kişi halında tək")</f>
        <v>Bağlayıcı waw :: Feil - Qal - Ardıcıl natamam - üçüncü şəxs kişi halında tək</v>
      </c>
      <c r="K320" s="5" t="str">
        <f>IFERROR(__xludf.DUMMYFUNCTION("GOOGLETRANSLATE(H320,""en"",""az"")"),"Və o zəng etdi")</f>
        <v>Və o zəng etdi</v>
      </c>
    </row>
    <row r="321">
      <c r="A321" s="1" t="s">
        <v>9</v>
      </c>
      <c r="B321" s="1">
        <v>5.0</v>
      </c>
      <c r="C321" s="1">
        <v>29.0</v>
      </c>
      <c r="D321" s="1">
        <v>2.0</v>
      </c>
      <c r="E321" s="2" t="s">
        <v>79</v>
      </c>
      <c r="F321" s="3" t="s">
        <v>80</v>
      </c>
      <c r="G321" s="4">
        <v>853.0</v>
      </c>
      <c r="H321" s="3" t="s">
        <v>81</v>
      </c>
      <c r="I321" s="3" t="s">
        <v>82</v>
      </c>
      <c r="J321" s="5" t="str">
        <f>IFERROR(__xludf.DUMMYFUNCTION("GOOGLETRANSLATE(I321,""en"",""az"")"),"Birbaşa obyekt marker")</f>
        <v>Birbaşa obyekt marker</v>
      </c>
      <c r="K321" s="5" t="str">
        <f>IFERROR(__xludf.DUMMYFUNCTION("GOOGLETRANSLATE(H321,""en"",""az"")"),"-")</f>
        <v>-</v>
      </c>
    </row>
    <row r="322">
      <c r="A322" s="1" t="s">
        <v>9</v>
      </c>
      <c r="B322" s="1">
        <v>5.0</v>
      </c>
      <c r="C322" s="1">
        <v>29.0</v>
      </c>
      <c r="D322" s="1">
        <v>3.0</v>
      </c>
      <c r="E322" s="2" t="s">
        <v>381</v>
      </c>
      <c r="F322" s="3" t="s">
        <v>128</v>
      </c>
      <c r="G322" s="4">
        <v>8034.0</v>
      </c>
      <c r="H322" s="3" t="s">
        <v>129</v>
      </c>
      <c r="I322" s="3" t="s">
        <v>130</v>
      </c>
      <c r="J322" s="5" t="str">
        <f>IFERROR(__xludf.DUMMYFUNCTION("GOOGLETRANSLATE(I322,""en"",""az"")"),"İsim - kişi cinsi tək quruluşu :: üçüncü şəxs kişi cinsi tək")</f>
        <v>İsim - kişi cinsi tək quruluşu :: üçüncü şəxs kişi cinsi tək</v>
      </c>
      <c r="K322" s="5" t="str">
        <f>IFERROR(__xludf.DUMMYFUNCTION("GOOGLETRANSLATE(H322,""en"",""az"")"),"onun adı")</f>
        <v>onun adı</v>
      </c>
    </row>
    <row r="323">
      <c r="A323" s="1" t="s">
        <v>9</v>
      </c>
      <c r="B323" s="1">
        <v>5.0</v>
      </c>
      <c r="C323" s="1">
        <v>29.0</v>
      </c>
      <c r="D323" s="1">
        <v>4.0</v>
      </c>
      <c r="E323" s="2" t="s">
        <v>382</v>
      </c>
      <c r="F323" s="3" t="s">
        <v>383</v>
      </c>
      <c r="G323" s="4">
        <v>5146.0</v>
      </c>
      <c r="H323" s="3" t="s">
        <v>384</v>
      </c>
      <c r="I323" s="3" t="s">
        <v>25</v>
      </c>
      <c r="J323" s="5" t="str">
        <f>IFERROR(__xludf.DUMMYFUNCTION("GOOGLETRANSLATE(I323,""en"",""az"")"),"İsim - xüsusi - kişi cinsində tək")</f>
        <v>İsim - xüsusi - kişi cinsində tək</v>
      </c>
      <c r="K323" s="5" t="str">
        <f>IFERROR(__xludf.DUMMYFUNCTION("GOOGLETRANSLATE(H323,""en"",""az"")"),"Nuh")</f>
        <v>Nuh</v>
      </c>
    </row>
    <row r="324">
      <c r="A324" s="1" t="s">
        <v>9</v>
      </c>
      <c r="B324" s="1">
        <v>5.0</v>
      </c>
      <c r="C324" s="1">
        <v>29.0</v>
      </c>
      <c r="D324" s="1">
        <v>5.0</v>
      </c>
      <c r="E324" s="2" t="s">
        <v>385</v>
      </c>
      <c r="F324" s="3" t="s">
        <v>386</v>
      </c>
      <c r="G324" s="4">
        <v>559.0</v>
      </c>
      <c r="H324" s="3" t="s">
        <v>387</v>
      </c>
      <c r="I324" s="3" t="s">
        <v>388</v>
      </c>
      <c r="J324" s="5" t="str">
        <f>IFERROR(__xludf.DUMMYFUNCTION("GOOGLETRANSLATE(I324,""en"",""az"")"),"Sözönü-l :: Feil - Qal - Məsdər konstruksiyası")</f>
        <v>Sözönü-l :: Feil - Qal - Məsdər konstruksiyası</v>
      </c>
      <c r="K324" s="5" t="str">
        <f>IFERROR(__xludf.DUMMYFUNCTION("GOOGLETRANSLATE(H324,""en"",""az"")"),"deyim")</f>
        <v>deyim</v>
      </c>
    </row>
    <row r="325">
      <c r="A325" s="1" t="s">
        <v>9</v>
      </c>
      <c r="B325" s="1">
        <v>5.0</v>
      </c>
      <c r="C325" s="1">
        <v>29.0</v>
      </c>
      <c r="D325" s="1">
        <v>6.0</v>
      </c>
      <c r="E325" s="2" t="s">
        <v>389</v>
      </c>
      <c r="F325" s="3" t="s">
        <v>11</v>
      </c>
      <c r="G325" s="4">
        <v>2088.0</v>
      </c>
      <c r="H325" s="3" t="s">
        <v>390</v>
      </c>
      <c r="I325" s="3" t="s">
        <v>13</v>
      </c>
      <c r="J325" s="5" t="str">
        <f>IFERROR(__xludf.DUMMYFUNCTION("GOOGLETRANSLATE(I325,""en"",""az"")"),"Əvəzlik - kişi cinsində tək")</f>
        <v>Əvəzlik - kişi cinsində tək</v>
      </c>
      <c r="K325" s="5" t="str">
        <f>IFERROR(__xludf.DUMMYFUNCTION("GOOGLETRANSLATE(H325,""en"",""az"")"),"bu [bir]")</f>
        <v>bu [bir]</v>
      </c>
    </row>
    <row r="326">
      <c r="A326" s="1" t="s">
        <v>9</v>
      </c>
      <c r="B326" s="1">
        <v>5.0</v>
      </c>
      <c r="C326" s="1">
        <v>29.0</v>
      </c>
      <c r="D326" s="1">
        <v>7.0</v>
      </c>
      <c r="E326" s="2" t="s">
        <v>391</v>
      </c>
      <c r="F326" s="3" t="s">
        <v>392</v>
      </c>
      <c r="G326" s="4">
        <v>5162.0</v>
      </c>
      <c r="H326" s="3" t="s">
        <v>393</v>
      </c>
      <c r="I326" s="3" t="s">
        <v>394</v>
      </c>
      <c r="J326" s="5" t="str">
        <f>IFERROR(__xludf.DUMMYFUNCTION("GOOGLETRANSLATE(I326,""en"",""az"")"),"Fe'l - Piel - Qeyri-kamil - üçüncü şəxs kişi formasında tək :: birinci şəxs ümumi cəm")</f>
        <v>Fe'l - Piel - Qeyri-kamil - üçüncü şəxs kişi formasında tək :: birinci şəxs ümumi cəm</v>
      </c>
      <c r="K326" s="5" t="str">
        <f>IFERROR(__xludf.DUMMYFUNCTION("GOOGLETRANSLATE(H326,""en"",""az"")"),"bizi təsəlli edəcək")</f>
        <v>bizi təsəlli edəcək</v>
      </c>
    </row>
    <row r="327">
      <c r="A327" s="1" t="s">
        <v>9</v>
      </c>
      <c r="B327" s="1">
        <v>5.0</v>
      </c>
      <c r="C327" s="1">
        <v>29.0</v>
      </c>
      <c r="D327" s="1">
        <v>8.0</v>
      </c>
      <c r="E327" s="2" t="s">
        <v>395</v>
      </c>
      <c r="F327" s="3" t="s">
        <v>396</v>
      </c>
      <c r="G327" s="4">
        <v>4639.0</v>
      </c>
      <c r="H327" s="3" t="s">
        <v>397</v>
      </c>
      <c r="I327" s="3" t="s">
        <v>398</v>
      </c>
      <c r="J327" s="5" t="str">
        <f>IFERROR(__xludf.DUMMYFUNCTION("GOOGLETRANSLATE(I327,""en"",""az"")"),"Sözönü-m :: İsim - kişi cinsi tək quruluşu :: birinci şəxs ümumi cəm")</f>
        <v>Sözönü-m :: İsim - kişi cinsi tək quruluşu :: birinci şəxs ümumi cəm</v>
      </c>
      <c r="K327" s="5" t="str">
        <f>IFERROR(__xludf.DUMMYFUNCTION("GOOGLETRANSLATE(H327,""en"",""az"")"),"işimizlə bağlı")</f>
        <v>işimizlə bağlı</v>
      </c>
    </row>
    <row r="328">
      <c r="A328" s="1" t="s">
        <v>9</v>
      </c>
      <c r="B328" s="1">
        <v>5.0</v>
      </c>
      <c r="C328" s="1">
        <v>29.0</v>
      </c>
      <c r="D328" s="1">
        <v>9.0</v>
      </c>
      <c r="E328" s="2" t="s">
        <v>399</v>
      </c>
      <c r="F328" s="3" t="s">
        <v>400</v>
      </c>
      <c r="G328" s="4">
        <v>6093.0</v>
      </c>
      <c r="H328" s="3" t="s">
        <v>401</v>
      </c>
      <c r="I328" s="3" t="s">
        <v>402</v>
      </c>
      <c r="J328" s="5" t="str">
        <f>IFERROR(__xludf.DUMMYFUNCTION("GOOGLETRANSLATE(I328,""en"",""az"")"),"Conjunctive waw, Preposition-m :: Noun - maskulin tək konstruksiyası")</f>
        <v>Conjunctive waw, Preposition-m :: Noun - maskulin tək konstruksiyası</v>
      </c>
      <c r="K328" s="5" t="str">
        <f>IFERROR(__xludf.DUMMYFUNCTION("GOOGLETRANSLATE(H328,""en"",""az"")"),"və zəhmət")</f>
        <v>və zəhmət</v>
      </c>
    </row>
    <row r="329">
      <c r="A329" s="1" t="s">
        <v>9</v>
      </c>
      <c r="B329" s="1">
        <v>5.0</v>
      </c>
      <c r="C329" s="1">
        <v>29.0</v>
      </c>
      <c r="D329" s="1">
        <v>10.0</v>
      </c>
      <c r="E329" s="2" t="s">
        <v>403</v>
      </c>
      <c r="F329" s="3" t="s">
        <v>404</v>
      </c>
      <c r="G329" s="4">
        <v>3027.0</v>
      </c>
      <c r="H329" s="3" t="s">
        <v>405</v>
      </c>
      <c r="I329" s="3" t="s">
        <v>406</v>
      </c>
      <c r="J329" s="5" t="str">
        <f>IFERROR(__xludf.DUMMYFUNCTION("GOOGLETRANSLATE(I329,""en"",""az"")"),"İsim - fdc :: birinci şəxs ümumi cəm")</f>
        <v>İsim - fdc :: birinci şəxs ümumi cəm</v>
      </c>
      <c r="K329" s="5" t="str">
        <f>IFERROR(__xludf.DUMMYFUNCTION("GOOGLETRANSLATE(H329,""en"",""az"")"),"əllərimizdən")</f>
        <v>əllərimizdən</v>
      </c>
    </row>
    <row r="330">
      <c r="A330" s="1" t="s">
        <v>9</v>
      </c>
      <c r="B330" s="1">
        <v>5.0</v>
      </c>
      <c r="C330" s="1">
        <v>29.0</v>
      </c>
      <c r="D330" s="1">
        <v>11.0</v>
      </c>
      <c r="E330" s="2" t="s">
        <v>407</v>
      </c>
      <c r="F330" s="3" t="s">
        <v>408</v>
      </c>
      <c r="G330" s="4">
        <v>4480.0</v>
      </c>
      <c r="H330" s="3" t="s">
        <v>409</v>
      </c>
      <c r="I330" s="3" t="s">
        <v>193</v>
      </c>
      <c r="J330" s="5" t="str">
        <f>IFERROR(__xludf.DUMMYFUNCTION("GOOGLETRANSLATE(I330,""en"",""az"")"),"Sözönü")</f>
        <v>Sözönü</v>
      </c>
      <c r="K330" s="5" t="str">
        <f>IFERROR(__xludf.DUMMYFUNCTION("GOOGLETRANSLATE(H330,""en"",""az"")"),"çünki")</f>
        <v>çünki</v>
      </c>
    </row>
    <row r="331">
      <c r="A331" s="1" t="s">
        <v>9</v>
      </c>
      <c r="B331" s="1">
        <v>5.0</v>
      </c>
      <c r="C331" s="1">
        <v>29.0</v>
      </c>
      <c r="D331" s="1">
        <v>12.0</v>
      </c>
      <c r="E331" s="2" t="s">
        <v>410</v>
      </c>
      <c r="F331" s="3" t="s">
        <v>411</v>
      </c>
      <c r="G331" s="4">
        <v>127.0</v>
      </c>
      <c r="H331" s="3" t="s">
        <v>412</v>
      </c>
      <c r="I331" s="3" t="s">
        <v>413</v>
      </c>
      <c r="J331" s="5" t="str">
        <f>IFERROR(__xludf.DUMMYFUNCTION("GOOGLETRANSLATE(I331,""en"",""az"")"),"Article :: İsim - qadın cinsi tək")</f>
        <v>Article :: İsim - qadın cinsi tək</v>
      </c>
      <c r="K331" s="5" t="str">
        <f>IFERROR(__xludf.DUMMYFUNCTION("GOOGLETRANSLATE(H331,""en"",""az"")"),"yerin")</f>
        <v>yerin</v>
      </c>
    </row>
    <row r="332">
      <c r="A332" s="1" t="s">
        <v>9</v>
      </c>
      <c r="B332" s="1">
        <v>5.0</v>
      </c>
      <c r="C332" s="1">
        <v>29.0</v>
      </c>
      <c r="D332" s="1">
        <v>13.0</v>
      </c>
      <c r="E332" s="2" t="s">
        <v>414</v>
      </c>
      <c r="F332" s="3" t="s">
        <v>415</v>
      </c>
      <c r="G332" s="4">
        <v>834.0</v>
      </c>
      <c r="H332" s="3" t="s">
        <v>416</v>
      </c>
      <c r="I332" s="3" t="s">
        <v>150</v>
      </c>
      <c r="J332" s="5" t="str">
        <f>IFERROR(__xludf.DUMMYFUNCTION("GOOGLETRANSLATE(I332,""en"",""az"")"),"Əvəzlik - nisbi")</f>
        <v>Əvəzlik - nisbi</v>
      </c>
      <c r="K332" s="5" t="str">
        <f>IFERROR(__xludf.DUMMYFUNCTION("GOOGLETRANSLATE(H332,""en"",""az"")"),"hansı ki")</f>
        <v>hansı ki</v>
      </c>
    </row>
    <row r="333">
      <c r="A333" s="1" t="s">
        <v>9</v>
      </c>
      <c r="B333" s="1">
        <v>5.0</v>
      </c>
      <c r="C333" s="1">
        <v>29.0</v>
      </c>
      <c r="D333" s="1">
        <v>14.0</v>
      </c>
      <c r="E333" s="2" t="s">
        <v>417</v>
      </c>
      <c r="F333" s="3" t="s">
        <v>418</v>
      </c>
      <c r="G333" s="4">
        <v>779.0</v>
      </c>
      <c r="H333" s="3" t="s">
        <v>419</v>
      </c>
      <c r="I333" s="3" t="s">
        <v>420</v>
      </c>
      <c r="J333" s="5" t="str">
        <f>IFERROR(__xludf.DUMMYFUNCTION("GOOGLETRANSLATE(I333,""en"",""az"")"),"Fe'l - Piel - Perfect - üçüncü şəxs kişi cinsi tək :: üçüncü şəxs qadın cinsi tək")</f>
        <v>Fe'l - Piel - Perfect - üçüncü şəxs kişi cinsi tək :: üçüncü şəxs qadın cinsi tək</v>
      </c>
      <c r="K333" s="5" t="str">
        <f>IFERROR(__xludf.DUMMYFUNCTION("GOOGLETRANSLATE(H333,""en"",""az"")"),"lənətləyib")</f>
        <v>lənətləyib</v>
      </c>
    </row>
    <row r="334">
      <c r="A334" s="1" t="s">
        <v>9</v>
      </c>
      <c r="B334" s="1">
        <v>5.0</v>
      </c>
      <c r="C334" s="1">
        <v>29.0</v>
      </c>
      <c r="D334" s="1">
        <v>15.0</v>
      </c>
      <c r="E334" s="2" t="s">
        <v>421</v>
      </c>
      <c r="F334" s="3" t="s">
        <v>422</v>
      </c>
      <c r="G334" s="4">
        <v>3068.0</v>
      </c>
      <c r="H334" s="3" t="s">
        <v>423</v>
      </c>
      <c r="I334" s="3" t="s">
        <v>25</v>
      </c>
      <c r="J334" s="5" t="str">
        <f>IFERROR(__xludf.DUMMYFUNCTION("GOOGLETRANSLATE(I334,""en"",""az"")"),"İsim - xüsusi - kişi cinsində tək")</f>
        <v>İsim - xüsusi - kişi cinsində tək</v>
      </c>
      <c r="K334" s="5" t="str">
        <f>IFERROR(__xludf.DUMMYFUNCTION("GOOGLETRANSLATE(H334,""en"",""az"")"),"Yehova")</f>
        <v>Yehova</v>
      </c>
    </row>
    <row r="335">
      <c r="A335" s="1" t="s">
        <v>9</v>
      </c>
      <c r="B335" s="1">
        <v>5.0</v>
      </c>
      <c r="C335" s="1">
        <v>30.0</v>
      </c>
      <c r="D335" s="1">
        <v>1.0</v>
      </c>
      <c r="E335" s="2" t="s">
        <v>171</v>
      </c>
      <c r="F335" s="3" t="s">
        <v>172</v>
      </c>
      <c r="G335" s="4">
        <v>2421.0</v>
      </c>
      <c r="H335" s="3" t="s">
        <v>98</v>
      </c>
      <c r="I335" s="3" t="s">
        <v>78</v>
      </c>
      <c r="J335" s="5" t="str">
        <f>IFERROR(__xludf.DUMMYFUNCTION("GOOGLETRANSLATE(I335,""en"",""az"")"),"Bağlayıcı waw :: Feil - Qal - Ardıcıl natamam - üçüncü şəxs kişi halında tək")</f>
        <v>Bağlayıcı waw :: Feil - Qal - Ardıcıl natamam - üçüncü şəxs kişi halında tək</v>
      </c>
      <c r="K335" s="5" t="str">
        <f>IFERROR(__xludf.DUMMYFUNCTION("GOOGLETRANSLATE(H335,""en"",""az"")"),"Və yaşadı")</f>
        <v>Və yaşadı</v>
      </c>
    </row>
    <row r="336">
      <c r="A336" s="1" t="s">
        <v>9</v>
      </c>
      <c r="B336" s="1">
        <v>5.0</v>
      </c>
      <c r="C336" s="1">
        <v>30.0</v>
      </c>
      <c r="D336" s="1">
        <v>2.0</v>
      </c>
      <c r="E336" s="2" t="s">
        <v>424</v>
      </c>
      <c r="F336" s="3" t="s">
        <v>365</v>
      </c>
      <c r="G336" s="4">
        <v>3929.0</v>
      </c>
      <c r="H336" s="3" t="s">
        <v>362</v>
      </c>
      <c r="I336" s="3" t="s">
        <v>25</v>
      </c>
      <c r="J336" s="5" t="str">
        <f>IFERROR(__xludf.DUMMYFUNCTION("GOOGLETRANSLATE(I336,""en"",""az"")"),"İsim - xüsusi - kişi cinsində tək")</f>
        <v>İsim - xüsusi - kişi cinsində tək</v>
      </c>
      <c r="K336" s="5" t="str">
        <f>IFERROR(__xludf.DUMMYFUNCTION("GOOGLETRANSLATE(H336,""en"",""az"")"),"Lamek")</f>
        <v>Lamek</v>
      </c>
    </row>
    <row r="337">
      <c r="A337" s="1" t="s">
        <v>9</v>
      </c>
      <c r="B337" s="1">
        <v>5.0</v>
      </c>
      <c r="C337" s="1">
        <v>30.0</v>
      </c>
      <c r="D337" s="1">
        <v>3.0</v>
      </c>
      <c r="E337" s="2" t="s">
        <v>190</v>
      </c>
      <c r="F337" s="3" t="s">
        <v>191</v>
      </c>
      <c r="G337" s="4">
        <v>310.0</v>
      </c>
      <c r="H337" s="3" t="s">
        <v>192</v>
      </c>
      <c r="I337" s="3" t="s">
        <v>193</v>
      </c>
      <c r="J337" s="5" t="str">
        <f>IFERROR(__xludf.DUMMYFUNCTION("GOOGLETRANSLATE(I337,""en"",""az"")"),"Sözönü")</f>
        <v>Sözönü</v>
      </c>
      <c r="K337" s="5" t="str">
        <f>IFERROR(__xludf.DUMMYFUNCTION("GOOGLETRANSLATE(H337,""en"",""az"")"),"sonra")</f>
        <v>sonra</v>
      </c>
    </row>
    <row r="338">
      <c r="A338" s="1" t="s">
        <v>9</v>
      </c>
      <c r="B338" s="1">
        <v>5.0</v>
      </c>
      <c r="C338" s="1">
        <v>30.0</v>
      </c>
      <c r="D338" s="1">
        <v>4.0</v>
      </c>
      <c r="E338" s="2" t="s">
        <v>194</v>
      </c>
      <c r="F338" s="3" t="s">
        <v>195</v>
      </c>
      <c r="G338" s="4">
        <v>3205.0</v>
      </c>
      <c r="H338" s="3" t="s">
        <v>196</v>
      </c>
      <c r="I338" s="3" t="s">
        <v>197</v>
      </c>
      <c r="J338" s="5" t="str">
        <f>IFERROR(__xludf.DUMMYFUNCTION("GOOGLETRANSLATE(I338,""en"",""az"")"),"Fe'l - Hifil - Məsdər konstruksiyası :: üçüncü şəxs kişi formasında tək")</f>
        <v>Fe'l - Hifil - Məsdər konstruksiyası :: üçüncü şəxs kişi formasında tək</v>
      </c>
      <c r="K338" s="5" t="str">
        <f>IFERROR(__xludf.DUMMYFUNCTION("GOOGLETRANSLATE(H338,""en"",""az"")"),"o doğdu")</f>
        <v>o doğdu</v>
      </c>
    </row>
    <row r="339">
      <c r="A339" s="1" t="s">
        <v>9</v>
      </c>
      <c r="B339" s="1">
        <v>5.0</v>
      </c>
      <c r="C339" s="1">
        <v>30.0</v>
      </c>
      <c r="D339" s="1">
        <v>5.0</v>
      </c>
      <c r="E339" s="2" t="s">
        <v>79</v>
      </c>
      <c r="F339" s="3" t="s">
        <v>80</v>
      </c>
      <c r="G339" s="4">
        <v>853.0</v>
      </c>
      <c r="H339" s="3" t="s">
        <v>81</v>
      </c>
      <c r="I339" s="3" t="s">
        <v>82</v>
      </c>
      <c r="J339" s="5" t="str">
        <f>IFERROR(__xludf.DUMMYFUNCTION("GOOGLETRANSLATE(I339,""en"",""az"")"),"Birbaşa obyekt marker")</f>
        <v>Birbaşa obyekt marker</v>
      </c>
      <c r="K339" s="5" t="str">
        <f>IFERROR(__xludf.DUMMYFUNCTION("GOOGLETRANSLATE(H339,""en"",""az"")"),"-")</f>
        <v>-</v>
      </c>
    </row>
    <row r="340">
      <c r="A340" s="1" t="s">
        <v>9</v>
      </c>
      <c r="B340" s="1">
        <v>5.0</v>
      </c>
      <c r="C340" s="1">
        <v>30.0</v>
      </c>
      <c r="D340" s="1">
        <v>6.0</v>
      </c>
      <c r="E340" s="2" t="s">
        <v>425</v>
      </c>
      <c r="F340" s="3" t="s">
        <v>426</v>
      </c>
      <c r="G340" s="4">
        <v>5146.0</v>
      </c>
      <c r="H340" s="3" t="s">
        <v>384</v>
      </c>
      <c r="I340" s="3" t="s">
        <v>25</v>
      </c>
      <c r="J340" s="5" t="str">
        <f>IFERROR(__xludf.DUMMYFUNCTION("GOOGLETRANSLATE(I340,""en"",""az"")"),"İsim - xüsusi - kişi cinsində tək")</f>
        <v>İsim - xüsusi - kişi cinsində tək</v>
      </c>
      <c r="K340" s="5" t="str">
        <f>IFERROR(__xludf.DUMMYFUNCTION("GOOGLETRANSLATE(H340,""en"",""az"")"),"Nuh")</f>
        <v>Nuh</v>
      </c>
    </row>
    <row r="341">
      <c r="A341" s="1" t="s">
        <v>9</v>
      </c>
      <c r="B341" s="1">
        <v>5.0</v>
      </c>
      <c r="C341" s="1">
        <v>30.0</v>
      </c>
      <c r="D341" s="1">
        <v>7.0</v>
      </c>
      <c r="E341" s="2" t="s">
        <v>283</v>
      </c>
      <c r="F341" s="3" t="s">
        <v>176</v>
      </c>
      <c r="G341" s="4">
        <v>2568.0</v>
      </c>
      <c r="H341" s="3" t="s">
        <v>177</v>
      </c>
      <c r="I341" s="3" t="s">
        <v>178</v>
      </c>
      <c r="J341" s="5" t="str">
        <f>IFERROR(__xludf.DUMMYFUNCTION("GOOGLETRANSLATE(I341,""en"",""az"")"),"Say - qadın tək")</f>
        <v>Say - qadın tək</v>
      </c>
      <c r="K341" s="5" t="str">
        <f>IFERROR(__xludf.DUMMYFUNCTION("GOOGLETRANSLATE(H341,""en"",""az"")"),"beş")</f>
        <v>beş</v>
      </c>
    </row>
    <row r="342">
      <c r="A342" s="1" t="s">
        <v>9</v>
      </c>
      <c r="B342" s="1">
        <v>5.0</v>
      </c>
      <c r="C342" s="1">
        <v>30.0</v>
      </c>
      <c r="D342" s="1">
        <v>8.0</v>
      </c>
      <c r="E342" s="2" t="s">
        <v>284</v>
      </c>
      <c r="F342" s="3" t="s">
        <v>285</v>
      </c>
      <c r="G342" s="4">
        <v>8673.0</v>
      </c>
      <c r="H342" s="3" t="s">
        <v>286</v>
      </c>
      <c r="I342" s="3" t="s">
        <v>165</v>
      </c>
      <c r="J342" s="5" t="str">
        <f>IFERROR(__xludf.DUMMYFUNCTION("GOOGLETRANSLATE(I342,""en"",""az"")"),"Bağlayıcı waw :: Say - ümumi cəm")</f>
        <v>Bağlayıcı waw :: Say - ümumi cəm</v>
      </c>
      <c r="K342" s="5" t="str">
        <f>IFERROR(__xludf.DUMMYFUNCTION("GOOGLETRANSLATE(H342,""en"",""az"")"),"və doxsan")</f>
        <v>və doxsan</v>
      </c>
    </row>
    <row r="343">
      <c r="A343" s="1" t="s">
        <v>9</v>
      </c>
      <c r="B343" s="1">
        <v>5.0</v>
      </c>
      <c r="C343" s="1">
        <v>30.0</v>
      </c>
      <c r="D343" s="1">
        <v>9.0</v>
      </c>
      <c r="E343" s="2" t="s">
        <v>109</v>
      </c>
      <c r="F343" s="3" t="s">
        <v>110</v>
      </c>
      <c r="G343" s="4">
        <v>8141.0</v>
      </c>
      <c r="H343" s="3" t="s">
        <v>111</v>
      </c>
      <c r="I343" s="3" t="s">
        <v>112</v>
      </c>
      <c r="J343" s="5" t="str">
        <f>IFERROR(__xludf.DUMMYFUNCTION("GOOGLETRANSLATE(I343,""en"",""az"")"),"İsim - qadın cinsi tək")</f>
        <v>İsim - qadın cinsi tək</v>
      </c>
      <c r="K343" s="5" t="str">
        <f>IFERROR(__xludf.DUMMYFUNCTION("GOOGLETRANSLATE(H343,""en"",""az"")"),"illər")</f>
        <v>illər</v>
      </c>
    </row>
    <row r="344">
      <c r="A344" s="1" t="s">
        <v>9</v>
      </c>
      <c r="B344" s="1">
        <v>5.0</v>
      </c>
      <c r="C344" s="1">
        <v>30.0</v>
      </c>
      <c r="D344" s="1">
        <v>10.0</v>
      </c>
      <c r="E344" s="2" t="s">
        <v>427</v>
      </c>
      <c r="F344" s="3" t="s">
        <v>428</v>
      </c>
      <c r="G344" s="4">
        <v>2568.0</v>
      </c>
      <c r="H344" s="3" t="s">
        <v>429</v>
      </c>
      <c r="I344" s="3" t="s">
        <v>108</v>
      </c>
      <c r="J344" s="5" t="str">
        <f>IFERROR(__xludf.DUMMYFUNCTION("GOOGLETRANSLATE(I344,""en"",""az"")"),"Konyunktiv waw :: Say - qadınlıq tək konstruksiyası")</f>
        <v>Konyunktiv waw :: Say - qadınlıq tək konstruksiyası</v>
      </c>
      <c r="K344" s="5" t="str">
        <f>IFERROR(__xludf.DUMMYFUNCTION("GOOGLETRANSLATE(H344,""en"",""az"")"),"və beş")</f>
        <v>və beş</v>
      </c>
    </row>
    <row r="345">
      <c r="A345" s="1" t="s">
        <v>9</v>
      </c>
      <c r="B345" s="1">
        <v>5.0</v>
      </c>
      <c r="C345" s="1">
        <v>30.0</v>
      </c>
      <c r="D345" s="1">
        <v>11.0</v>
      </c>
      <c r="E345" s="2" t="s">
        <v>430</v>
      </c>
      <c r="F345" s="3" t="s">
        <v>431</v>
      </c>
      <c r="G345" s="4">
        <v>3967.0</v>
      </c>
      <c r="H345" s="3" t="s">
        <v>160</v>
      </c>
      <c r="I345" s="3" t="s">
        <v>161</v>
      </c>
      <c r="J345" s="5" t="str">
        <f>IFERROR(__xludf.DUMMYFUNCTION("GOOGLETRANSLATE(I345,""en"",""az"")"),"Say - qadın cəm")</f>
        <v>Say - qadın cəm</v>
      </c>
      <c r="K345" s="5" t="str">
        <f>IFERROR(__xludf.DUMMYFUNCTION("GOOGLETRANSLATE(H345,""en"",""az"")"),"yüz")</f>
        <v>yüz</v>
      </c>
    </row>
    <row r="346">
      <c r="A346" s="1" t="s">
        <v>9</v>
      </c>
      <c r="B346" s="1">
        <v>5.0</v>
      </c>
      <c r="C346" s="1">
        <v>30.0</v>
      </c>
      <c r="D346" s="1">
        <v>12.0</v>
      </c>
      <c r="E346" s="2" t="s">
        <v>166</v>
      </c>
      <c r="F346" s="3" t="s">
        <v>167</v>
      </c>
      <c r="G346" s="4">
        <v>8141.0</v>
      </c>
      <c r="H346" s="3" t="s">
        <v>111</v>
      </c>
      <c r="I346" s="3" t="s">
        <v>112</v>
      </c>
      <c r="J346" s="5" t="str">
        <f>IFERROR(__xludf.DUMMYFUNCTION("GOOGLETRANSLATE(I346,""en"",""az"")"),"İsim - qadın cinsi tək")</f>
        <v>İsim - qadın cinsi tək</v>
      </c>
      <c r="K346" s="5" t="str">
        <f>IFERROR(__xludf.DUMMYFUNCTION("GOOGLETRANSLATE(H346,""en"",""az"")"),"illər")</f>
        <v>illər</v>
      </c>
    </row>
    <row r="347">
      <c r="A347" s="1" t="s">
        <v>9</v>
      </c>
      <c r="B347" s="1">
        <v>5.0</v>
      </c>
      <c r="C347" s="1">
        <v>30.0</v>
      </c>
      <c r="D347" s="1">
        <v>13.0</v>
      </c>
      <c r="E347" s="2" t="s">
        <v>113</v>
      </c>
      <c r="F347" s="3" t="s">
        <v>114</v>
      </c>
      <c r="G347" s="4">
        <v>3205.0</v>
      </c>
      <c r="H347" s="3" t="s">
        <v>184</v>
      </c>
      <c r="I347" s="3" t="s">
        <v>116</v>
      </c>
      <c r="J347" s="5" t="str">
        <f>IFERROR(__xludf.DUMMYFUNCTION("GOOGLETRANSLATE(I347,""en"",""az"")"),"Bağlayıcı waw :: Fe'l - Hifil - Ardıcıl natamam - üçüncü şəxs kişi formasında tək")</f>
        <v>Bağlayıcı waw :: Fe'l - Hifil - Ardıcıl natamam - üçüncü şəxs kişi formasında tək</v>
      </c>
      <c r="K347" s="5" t="str">
        <f>IFERROR(__xludf.DUMMYFUNCTION("GOOGLETRANSLATE(H347,""en"",""az"")"),"və o, doğdu")</f>
        <v>və o, doğdu</v>
      </c>
    </row>
    <row r="348">
      <c r="A348" s="1" t="s">
        <v>9</v>
      </c>
      <c r="B348" s="1">
        <v>5.0</v>
      </c>
      <c r="C348" s="1">
        <v>30.0</v>
      </c>
      <c r="D348" s="1">
        <v>14.0</v>
      </c>
      <c r="E348" s="2" t="s">
        <v>210</v>
      </c>
      <c r="F348" s="3" t="s">
        <v>211</v>
      </c>
      <c r="G348" s="4">
        <v>1121.0</v>
      </c>
      <c r="H348" s="3" t="s">
        <v>212</v>
      </c>
      <c r="I348" s="3" t="s">
        <v>37</v>
      </c>
      <c r="J348" s="5" t="str">
        <f>IFERROR(__xludf.DUMMYFUNCTION("GOOGLETRANSLATE(I348,""en"",""az"")"),"İsim - kişi cəm halı")</f>
        <v>İsim - kişi cəm halı</v>
      </c>
      <c r="K348" s="5" t="str">
        <f>IFERROR(__xludf.DUMMYFUNCTION("GOOGLETRANSLATE(H348,""en"",""az"")"),"oğullar")</f>
        <v>oğullar</v>
      </c>
    </row>
    <row r="349">
      <c r="A349" s="1" t="s">
        <v>9</v>
      </c>
      <c r="B349" s="1">
        <v>5.0</v>
      </c>
      <c r="C349" s="1">
        <v>30.0</v>
      </c>
      <c r="D349" s="1">
        <v>15.0</v>
      </c>
      <c r="E349" s="2" t="s">
        <v>213</v>
      </c>
      <c r="F349" s="3" t="s">
        <v>214</v>
      </c>
      <c r="G349" s="4">
        <v>1323.0</v>
      </c>
      <c r="H349" s="3" t="s">
        <v>215</v>
      </c>
      <c r="I349" s="3" t="s">
        <v>216</v>
      </c>
      <c r="J349" s="5" t="str">
        <f>IFERROR(__xludf.DUMMYFUNCTION("GOOGLETRANSLATE(I349,""en"",""az"")"),"Conjunctive waw :: Noun - qadın cəm")</f>
        <v>Conjunctive waw :: Noun - qadın cəm</v>
      </c>
      <c r="K349" s="5" t="str">
        <f>IFERROR(__xludf.DUMMYFUNCTION("GOOGLETRANSLATE(H349,""en"",""az"")"),"və qızları")</f>
        <v>və qızları</v>
      </c>
    </row>
    <row r="350">
      <c r="A350" s="1" t="s">
        <v>9</v>
      </c>
      <c r="B350" s="1">
        <v>5.0</v>
      </c>
      <c r="C350" s="1">
        <v>31.0</v>
      </c>
      <c r="D350" s="1">
        <v>1.0</v>
      </c>
      <c r="E350" s="2" t="s">
        <v>432</v>
      </c>
      <c r="F350" s="3" t="s">
        <v>328</v>
      </c>
      <c r="G350" s="4">
        <v>1961.0</v>
      </c>
      <c r="H350" s="3" t="s">
        <v>136</v>
      </c>
      <c r="I350" s="3" t="s">
        <v>78</v>
      </c>
      <c r="J350" s="5" t="str">
        <f>IFERROR(__xludf.DUMMYFUNCTION("GOOGLETRANSLATE(I350,""en"",""az"")"),"Bağlayıcı waw :: Feil - Qal - Ardıcıl natamam - üçüncü şəxs kişi halında tək")</f>
        <v>Bağlayıcı waw :: Feil - Qal - Ardıcıl natamam - üçüncü şəxs kişi halında tək</v>
      </c>
      <c r="K350" s="5" t="str">
        <f>IFERROR(__xludf.DUMMYFUNCTION("GOOGLETRANSLATE(H350,""en"",""az"")"),"Elə idilər də")</f>
        <v>Elə idilər də</v>
      </c>
    </row>
    <row r="351">
      <c r="A351" s="1" t="s">
        <v>9</v>
      </c>
      <c r="B351" s="1">
        <v>5.0</v>
      </c>
      <c r="C351" s="1">
        <v>31.0</v>
      </c>
      <c r="D351" s="1">
        <v>2.0</v>
      </c>
      <c r="E351" s="2" t="s">
        <v>138</v>
      </c>
      <c r="F351" s="3" t="s">
        <v>139</v>
      </c>
      <c r="G351" s="4">
        <v>3605.0</v>
      </c>
      <c r="H351" s="3" t="s">
        <v>140</v>
      </c>
      <c r="I351" s="3" t="s">
        <v>17</v>
      </c>
      <c r="J351" s="5" t="str">
        <f>IFERROR(__xludf.DUMMYFUNCTION("GOOGLETRANSLATE(I351,""en"",""az"")"),"İsim - kişi cinsində tək konstruksiya")</f>
        <v>İsim - kişi cinsində tək konstruksiya</v>
      </c>
      <c r="K351" s="5" t="str">
        <f>IFERROR(__xludf.DUMMYFUNCTION("GOOGLETRANSLATE(H351,""en"",""az"")"),"hamısı")</f>
        <v>hamısı</v>
      </c>
    </row>
    <row r="352">
      <c r="A352" s="1" t="s">
        <v>9</v>
      </c>
      <c r="B352" s="1">
        <v>5.0</v>
      </c>
      <c r="C352" s="1">
        <v>31.0</v>
      </c>
      <c r="D352" s="1">
        <v>3.0</v>
      </c>
      <c r="E352" s="2" t="s">
        <v>218</v>
      </c>
      <c r="F352" s="3" t="s">
        <v>219</v>
      </c>
      <c r="G352" s="4">
        <v>3117.0</v>
      </c>
      <c r="H352" s="3" t="s">
        <v>143</v>
      </c>
      <c r="I352" s="3" t="s">
        <v>144</v>
      </c>
      <c r="J352" s="5" t="str">
        <f>IFERROR(__xludf.DUMMYFUNCTION("GOOGLETRANSLATE(I352,""en"",""az"")"),"İsim - kişi cəm forması")</f>
        <v>İsim - kişi cəm forması</v>
      </c>
      <c r="K352" s="5" t="str">
        <f>IFERROR(__xludf.DUMMYFUNCTION("GOOGLETRANSLATE(H352,""en"",""az"")"),"günlər")</f>
        <v>günlər</v>
      </c>
    </row>
    <row r="353">
      <c r="A353" s="1" t="s">
        <v>9</v>
      </c>
      <c r="B353" s="1">
        <v>5.0</v>
      </c>
      <c r="C353" s="1">
        <v>31.0</v>
      </c>
      <c r="D353" s="1">
        <v>4.0</v>
      </c>
      <c r="E353" s="2" t="s">
        <v>364</v>
      </c>
      <c r="F353" s="3" t="s">
        <v>365</v>
      </c>
      <c r="G353" s="4">
        <v>3929.0</v>
      </c>
      <c r="H353" s="3" t="s">
        <v>433</v>
      </c>
      <c r="I353" s="3" t="s">
        <v>25</v>
      </c>
      <c r="J353" s="5" t="str">
        <f>IFERROR(__xludf.DUMMYFUNCTION("GOOGLETRANSLATE(I353,""en"",""az"")"),"İsim - xüsusi - kişi cinsində tək")</f>
        <v>İsim - xüsusi - kişi cinsində tək</v>
      </c>
      <c r="K353" s="5" t="str">
        <f>IFERROR(__xludf.DUMMYFUNCTION("GOOGLETRANSLATE(H353,""en"",""az"")"),"Lamekin")</f>
        <v>Lamekin</v>
      </c>
    </row>
    <row r="354">
      <c r="A354" s="1" t="s">
        <v>9</v>
      </c>
      <c r="B354" s="1">
        <v>5.0</v>
      </c>
      <c r="C354" s="1">
        <v>31.0</v>
      </c>
      <c r="D354" s="1">
        <v>5.0</v>
      </c>
      <c r="E354" s="2" t="s">
        <v>434</v>
      </c>
      <c r="F354" s="3" t="s">
        <v>201</v>
      </c>
      <c r="G354" s="4">
        <v>7651.0</v>
      </c>
      <c r="H354" s="3" t="s">
        <v>202</v>
      </c>
      <c r="I354" s="3" t="s">
        <v>178</v>
      </c>
      <c r="J354" s="5" t="str">
        <f>IFERROR(__xludf.DUMMYFUNCTION("GOOGLETRANSLATE(I354,""en"",""az"")"),"Say - qadın tək")</f>
        <v>Say - qadın tək</v>
      </c>
      <c r="K354" s="5" t="str">
        <f>IFERROR(__xludf.DUMMYFUNCTION("GOOGLETRANSLATE(H354,""en"",""az"")"),"yeddi")</f>
        <v>yeddi</v>
      </c>
    </row>
    <row r="355">
      <c r="A355" s="1" t="s">
        <v>9</v>
      </c>
      <c r="B355" s="1">
        <v>5.0</v>
      </c>
      <c r="C355" s="1">
        <v>31.0</v>
      </c>
      <c r="D355" s="1">
        <v>6.0</v>
      </c>
      <c r="E355" s="2" t="s">
        <v>435</v>
      </c>
      <c r="F355" s="3" t="s">
        <v>436</v>
      </c>
      <c r="G355" s="4">
        <v>7657.0</v>
      </c>
      <c r="H355" s="3" t="s">
        <v>437</v>
      </c>
      <c r="I355" s="3" t="s">
        <v>165</v>
      </c>
      <c r="J355" s="5" t="str">
        <f>IFERROR(__xludf.DUMMYFUNCTION("GOOGLETRANSLATE(I355,""en"",""az"")"),"Bağlayıcı waw :: Say - ümumi cəm")</f>
        <v>Bağlayıcı waw :: Say - ümumi cəm</v>
      </c>
      <c r="K355" s="5" t="str">
        <f>IFERROR(__xludf.DUMMYFUNCTION("GOOGLETRANSLATE(H355,""en"",""az"")"),"və yetmiş")</f>
        <v>və yetmiş</v>
      </c>
    </row>
    <row r="356">
      <c r="A356" s="1" t="s">
        <v>9</v>
      </c>
      <c r="B356" s="1">
        <v>5.0</v>
      </c>
      <c r="C356" s="1">
        <v>31.0</v>
      </c>
      <c r="D356" s="1">
        <v>7.0</v>
      </c>
      <c r="E356" s="2" t="s">
        <v>109</v>
      </c>
      <c r="F356" s="3" t="s">
        <v>110</v>
      </c>
      <c r="G356" s="4">
        <v>8141.0</v>
      </c>
      <c r="H356" s="3" t="s">
        <v>111</v>
      </c>
      <c r="I356" s="3" t="s">
        <v>112</v>
      </c>
      <c r="J356" s="5" t="str">
        <f>IFERROR(__xludf.DUMMYFUNCTION("GOOGLETRANSLATE(I356,""en"",""az"")"),"İsim - qadın cinsi tək")</f>
        <v>İsim - qadın cinsi tək</v>
      </c>
      <c r="K356" s="5" t="str">
        <f>IFERROR(__xludf.DUMMYFUNCTION("GOOGLETRANSLATE(H356,""en"",""az"")"),"illər")</f>
        <v>illər</v>
      </c>
    </row>
    <row r="357">
      <c r="A357" s="1" t="s">
        <v>9</v>
      </c>
      <c r="B357" s="1">
        <v>5.0</v>
      </c>
      <c r="C357" s="1">
        <v>31.0</v>
      </c>
      <c r="D357" s="1">
        <v>8.0</v>
      </c>
      <c r="E357" s="2" t="s">
        <v>368</v>
      </c>
      <c r="F357" s="3" t="s">
        <v>369</v>
      </c>
      <c r="G357" s="4">
        <v>7651.0</v>
      </c>
      <c r="H357" s="3" t="s">
        <v>370</v>
      </c>
      <c r="I357" s="3" t="s">
        <v>108</v>
      </c>
      <c r="J357" s="5" t="str">
        <f>IFERROR(__xludf.DUMMYFUNCTION("GOOGLETRANSLATE(I357,""en"",""az"")"),"Konyunktiv waw :: Say - qadınlıq tək konstruksiyası")</f>
        <v>Konyunktiv waw :: Say - qadınlıq tək konstruksiyası</v>
      </c>
      <c r="K357" s="5" t="str">
        <f>IFERROR(__xludf.DUMMYFUNCTION("GOOGLETRANSLATE(H357,""en"",""az"")"),"və yeddi")</f>
        <v>və yeddi</v>
      </c>
    </row>
    <row r="358">
      <c r="A358" s="1" t="s">
        <v>9</v>
      </c>
      <c r="B358" s="1">
        <v>5.0</v>
      </c>
      <c r="C358" s="1">
        <v>31.0</v>
      </c>
      <c r="D358" s="1">
        <v>9.0</v>
      </c>
      <c r="E358" s="2" t="s">
        <v>209</v>
      </c>
      <c r="F358" s="3" t="s">
        <v>159</v>
      </c>
      <c r="G358" s="4">
        <v>3967.0</v>
      </c>
      <c r="H358" s="3" t="s">
        <v>160</v>
      </c>
      <c r="I358" s="3" t="s">
        <v>161</v>
      </c>
      <c r="J358" s="5" t="str">
        <f>IFERROR(__xludf.DUMMYFUNCTION("GOOGLETRANSLATE(I358,""en"",""az"")"),"Say - qadın cəm")</f>
        <v>Say - qadın cəm</v>
      </c>
      <c r="K358" s="5" t="str">
        <f>IFERROR(__xludf.DUMMYFUNCTION("GOOGLETRANSLATE(H358,""en"",""az"")"),"yüz")</f>
        <v>yüz</v>
      </c>
    </row>
    <row r="359">
      <c r="A359" s="1" t="s">
        <v>9</v>
      </c>
      <c r="B359" s="1">
        <v>5.0</v>
      </c>
      <c r="C359" s="1">
        <v>31.0</v>
      </c>
      <c r="D359" s="1">
        <v>10.0</v>
      </c>
      <c r="E359" s="2" t="s">
        <v>166</v>
      </c>
      <c r="F359" s="3" t="s">
        <v>167</v>
      </c>
      <c r="G359" s="4">
        <v>8141.0</v>
      </c>
      <c r="H359" s="3" t="s">
        <v>111</v>
      </c>
      <c r="I359" s="3" t="s">
        <v>112</v>
      </c>
      <c r="J359" s="5" t="str">
        <f>IFERROR(__xludf.DUMMYFUNCTION("GOOGLETRANSLATE(I359,""en"",""az"")"),"İsim - qadın cinsi tək")</f>
        <v>İsim - qadın cinsi tək</v>
      </c>
      <c r="K359" s="5" t="str">
        <f>IFERROR(__xludf.DUMMYFUNCTION("GOOGLETRANSLATE(H359,""en"",""az"")"),"illər")</f>
        <v>illər</v>
      </c>
    </row>
    <row r="360">
      <c r="A360" s="1" t="s">
        <v>9</v>
      </c>
      <c r="B360" s="1">
        <v>5.0</v>
      </c>
      <c r="C360" s="1">
        <v>31.0</v>
      </c>
      <c r="D360" s="1">
        <v>11.0</v>
      </c>
      <c r="E360" s="2" t="s">
        <v>168</v>
      </c>
      <c r="F360" s="3" t="s">
        <v>169</v>
      </c>
      <c r="G360" s="4">
        <v>4191.0</v>
      </c>
      <c r="H360" s="3" t="s">
        <v>170</v>
      </c>
      <c r="I360" s="3" t="s">
        <v>78</v>
      </c>
      <c r="J360" s="5" t="str">
        <f>IFERROR(__xludf.DUMMYFUNCTION("GOOGLETRANSLATE(I360,""en"",""az"")"),"Bağlayıcı waw :: Feil - Qal - Ardıcıl natamam - üçüncü şəxs kişi halında tək")</f>
        <v>Bağlayıcı waw :: Feil - Qal - Ardıcıl natamam - üçüncü şəxs kişi halında tək</v>
      </c>
      <c r="K360" s="5" t="str">
        <f>IFERROR(__xludf.DUMMYFUNCTION("GOOGLETRANSLATE(H360,""en"",""az"")"),"və o öldü")</f>
        <v>və o öldü</v>
      </c>
    </row>
    <row r="361">
      <c r="A361" s="1" t="s">
        <v>9</v>
      </c>
      <c r="B361" s="1">
        <v>5.0</v>
      </c>
      <c r="C361" s="1">
        <v>31.0</v>
      </c>
      <c r="D361" s="1">
        <v>12.0</v>
      </c>
      <c r="E361" s="2" t="s">
        <v>93</v>
      </c>
      <c r="F361" s="3" t="s">
        <v>94</v>
      </c>
      <c r="G361" s="6"/>
      <c r="H361" s="3" t="s">
        <v>81</v>
      </c>
      <c r="I361" s="3" t="s">
        <v>95</v>
      </c>
      <c r="J361" s="5" t="str">
        <f>IFERROR(__xludf.DUMMYFUNCTION("GOOGLETRANSLATE(I361,""en"",""az"")"),"Durğu işarələri")</f>
        <v>Durğu işarələri</v>
      </c>
      <c r="K361" s="5" t="str">
        <f>IFERROR(__xludf.DUMMYFUNCTION("GOOGLETRANSLATE(H361,""en"",""az"")"),"-")</f>
        <v>-</v>
      </c>
    </row>
    <row r="362">
      <c r="A362" s="1" t="s">
        <v>9</v>
      </c>
      <c r="B362" s="1">
        <v>5.0</v>
      </c>
      <c r="C362" s="1">
        <v>32.0</v>
      </c>
      <c r="D362" s="1">
        <v>1.0</v>
      </c>
      <c r="E362" s="2" t="s">
        <v>438</v>
      </c>
      <c r="F362" s="3" t="s">
        <v>439</v>
      </c>
      <c r="G362" s="4">
        <v>1961.0</v>
      </c>
      <c r="H362" s="3" t="s">
        <v>440</v>
      </c>
      <c r="I362" s="3" t="s">
        <v>78</v>
      </c>
      <c r="J362" s="5" t="str">
        <f>IFERROR(__xludf.DUMMYFUNCTION("GOOGLETRANSLATE(I362,""en"",""az"")"),"Bağlayıcı waw :: Feil - Qal - Ardıcıl natamam - üçüncü şəxs kişi halında tək")</f>
        <v>Bağlayıcı waw :: Feil - Qal - Ardıcıl natamam - üçüncü şəxs kişi halında tək</v>
      </c>
      <c r="K362" s="5" t="str">
        <f>IFERROR(__xludf.DUMMYFUNCTION("GOOGLETRANSLATE(H362,""en"",""az"")"),"Və idi")</f>
        <v>Və idi</v>
      </c>
    </row>
    <row r="363">
      <c r="A363" s="1" t="s">
        <v>9</v>
      </c>
      <c r="B363" s="1">
        <v>5.0</v>
      </c>
      <c r="C363" s="1">
        <v>32.0</v>
      </c>
      <c r="D363" s="1">
        <v>2.0</v>
      </c>
      <c r="E363" s="2" t="s">
        <v>441</v>
      </c>
      <c r="F363" s="3" t="s">
        <v>383</v>
      </c>
      <c r="G363" s="4">
        <v>5146.0</v>
      </c>
      <c r="H363" s="3" t="s">
        <v>384</v>
      </c>
      <c r="I363" s="3" t="s">
        <v>25</v>
      </c>
      <c r="J363" s="5" t="str">
        <f>IFERROR(__xludf.DUMMYFUNCTION("GOOGLETRANSLATE(I363,""en"",""az"")"),"İsim - xüsusi - kişi cinsində tək")</f>
        <v>İsim - xüsusi - kişi cinsində tək</v>
      </c>
      <c r="K363" s="5" t="str">
        <f>IFERROR(__xludf.DUMMYFUNCTION("GOOGLETRANSLATE(H363,""en"",""az"")"),"Nuh")</f>
        <v>Nuh</v>
      </c>
    </row>
    <row r="364">
      <c r="A364" s="1" t="s">
        <v>9</v>
      </c>
      <c r="B364" s="1">
        <v>5.0</v>
      </c>
      <c r="C364" s="1">
        <v>32.0</v>
      </c>
      <c r="D364" s="1">
        <v>3.0</v>
      </c>
      <c r="E364" s="2" t="s">
        <v>442</v>
      </c>
      <c r="F364" s="3" t="s">
        <v>443</v>
      </c>
      <c r="G364" s="4">
        <v>1121.0</v>
      </c>
      <c r="H364" s="3" t="s">
        <v>444</v>
      </c>
      <c r="I364" s="3" t="s">
        <v>17</v>
      </c>
      <c r="J364" s="5" t="str">
        <f>IFERROR(__xludf.DUMMYFUNCTION("GOOGLETRANSLATE(I364,""en"",""az"")"),"İsim - kişi cinsində tək konstruksiya")</f>
        <v>İsim - kişi cinsində tək konstruksiya</v>
      </c>
      <c r="K364" s="5" t="str">
        <f>IFERROR(__xludf.DUMMYFUNCTION("GOOGLETRANSLATE(H364,""en"",""az"")"),"köhnə")</f>
        <v>köhnə</v>
      </c>
    </row>
    <row r="365">
      <c r="A365" s="1" t="s">
        <v>9</v>
      </c>
      <c r="B365" s="1">
        <v>5.0</v>
      </c>
      <c r="C365" s="1">
        <v>32.0</v>
      </c>
      <c r="D365" s="1">
        <v>4.0</v>
      </c>
      <c r="E365" s="2" t="s">
        <v>445</v>
      </c>
      <c r="F365" s="3" t="s">
        <v>245</v>
      </c>
      <c r="G365" s="4">
        <v>2568.0</v>
      </c>
      <c r="H365" s="3" t="s">
        <v>177</v>
      </c>
      <c r="I365" s="3" t="s">
        <v>157</v>
      </c>
      <c r="J365" s="5" t="str">
        <f>IFERROR(__xludf.DUMMYFUNCTION("GOOGLETRANSLATE(I365,""en"",""az"")"),"Say - qadın tək quruluşu")</f>
        <v>Say - qadın tək quruluşu</v>
      </c>
      <c r="K365" s="5" t="str">
        <f>IFERROR(__xludf.DUMMYFUNCTION("GOOGLETRANSLATE(H365,""en"",""az"")"),"beş")</f>
        <v>beş</v>
      </c>
    </row>
    <row r="366">
      <c r="A366" s="1" t="s">
        <v>9</v>
      </c>
      <c r="B366" s="1">
        <v>5.0</v>
      </c>
      <c r="C366" s="1">
        <v>32.0</v>
      </c>
      <c r="D366" s="1">
        <v>5.0</v>
      </c>
      <c r="E366" s="2" t="s">
        <v>209</v>
      </c>
      <c r="F366" s="3" t="s">
        <v>159</v>
      </c>
      <c r="G366" s="4">
        <v>3967.0</v>
      </c>
      <c r="H366" s="3" t="s">
        <v>160</v>
      </c>
      <c r="I366" s="3" t="s">
        <v>161</v>
      </c>
      <c r="J366" s="5" t="str">
        <f>IFERROR(__xludf.DUMMYFUNCTION("GOOGLETRANSLATE(I366,""en"",""az"")"),"Say - qadın cəm")</f>
        <v>Say - qadın cəm</v>
      </c>
      <c r="K366" s="5" t="str">
        <f>IFERROR(__xludf.DUMMYFUNCTION("GOOGLETRANSLATE(H366,""en"",""az"")"),"yüz")</f>
        <v>yüz</v>
      </c>
    </row>
    <row r="367">
      <c r="A367" s="1" t="s">
        <v>9</v>
      </c>
      <c r="B367" s="1">
        <v>5.0</v>
      </c>
      <c r="C367" s="1">
        <v>32.0</v>
      </c>
      <c r="D367" s="1">
        <v>6.0</v>
      </c>
      <c r="E367" s="2" t="s">
        <v>166</v>
      </c>
      <c r="F367" s="3" t="s">
        <v>167</v>
      </c>
      <c r="G367" s="4">
        <v>8141.0</v>
      </c>
      <c r="H367" s="3" t="s">
        <v>111</v>
      </c>
      <c r="I367" s="3" t="s">
        <v>112</v>
      </c>
      <c r="J367" s="5" t="str">
        <f>IFERROR(__xludf.DUMMYFUNCTION("GOOGLETRANSLATE(I367,""en"",""az"")"),"İsim - qadın cinsi tək")</f>
        <v>İsim - qadın cinsi tək</v>
      </c>
      <c r="K367" s="5" t="str">
        <f>IFERROR(__xludf.DUMMYFUNCTION("GOOGLETRANSLATE(H367,""en"",""az"")"),"illər")</f>
        <v>illər</v>
      </c>
    </row>
    <row r="368">
      <c r="A368" s="1" t="s">
        <v>9</v>
      </c>
      <c r="B368" s="1">
        <v>5.0</v>
      </c>
      <c r="C368" s="1">
        <v>32.0</v>
      </c>
      <c r="D368" s="1">
        <v>7.0</v>
      </c>
      <c r="E368" s="2" t="s">
        <v>446</v>
      </c>
      <c r="F368" s="3" t="s">
        <v>114</v>
      </c>
      <c r="G368" s="4">
        <v>3205.0</v>
      </c>
      <c r="H368" s="3" t="s">
        <v>447</v>
      </c>
      <c r="I368" s="3" t="s">
        <v>116</v>
      </c>
      <c r="J368" s="5" t="str">
        <f>IFERROR(__xludf.DUMMYFUNCTION("GOOGLETRANSLATE(I368,""en"",""az"")"),"Bağlayıcı waw :: Fe'l - Hifil - Ardıcıl natamam - üçüncü şəxs kişi formasında tək")</f>
        <v>Bağlayıcı waw :: Fe'l - Hifil - Ardıcıl natamam - üçüncü şəxs kişi formasında tək</v>
      </c>
      <c r="K368" s="5" t="str">
        <f>IFERROR(__xludf.DUMMYFUNCTION("GOOGLETRANSLATE(H368,""en"",""az"")"),"və doğuldu")</f>
        <v>və doğuldu</v>
      </c>
    </row>
    <row r="369">
      <c r="A369" s="1" t="s">
        <v>9</v>
      </c>
      <c r="B369" s="1">
        <v>5.0</v>
      </c>
      <c r="C369" s="1">
        <v>32.0</v>
      </c>
      <c r="D369" s="1">
        <v>8.0</v>
      </c>
      <c r="E369" s="2" t="s">
        <v>425</v>
      </c>
      <c r="F369" s="3" t="s">
        <v>426</v>
      </c>
      <c r="G369" s="4">
        <v>5146.0</v>
      </c>
      <c r="H369" s="3" t="s">
        <v>384</v>
      </c>
      <c r="I369" s="3" t="s">
        <v>25</v>
      </c>
      <c r="J369" s="5" t="str">
        <f>IFERROR(__xludf.DUMMYFUNCTION("GOOGLETRANSLATE(I369,""en"",""az"")"),"İsim - xüsusi - kişi cinsində tək")</f>
        <v>İsim - xüsusi - kişi cinsində tək</v>
      </c>
      <c r="K369" s="5" t="str">
        <f>IFERROR(__xludf.DUMMYFUNCTION("GOOGLETRANSLATE(H369,""en"",""az"")"),"Nuh")</f>
        <v>Nuh</v>
      </c>
    </row>
    <row r="370">
      <c r="A370" s="1" t="s">
        <v>9</v>
      </c>
      <c r="B370" s="1">
        <v>5.0</v>
      </c>
      <c r="C370" s="1">
        <v>32.0</v>
      </c>
      <c r="D370" s="1">
        <v>9.0</v>
      </c>
      <c r="E370" s="2" t="s">
        <v>79</v>
      </c>
      <c r="F370" s="3" t="s">
        <v>80</v>
      </c>
      <c r="G370" s="4">
        <v>853.0</v>
      </c>
      <c r="H370" s="3" t="s">
        <v>81</v>
      </c>
      <c r="I370" s="3" t="s">
        <v>82</v>
      </c>
      <c r="J370" s="5" t="str">
        <f>IFERROR(__xludf.DUMMYFUNCTION("GOOGLETRANSLATE(I370,""en"",""az"")"),"Birbaşa obyekt marker")</f>
        <v>Birbaşa obyekt marker</v>
      </c>
      <c r="K370" s="5" t="str">
        <f>IFERROR(__xludf.DUMMYFUNCTION("GOOGLETRANSLATE(H370,""en"",""az"")"),"-")</f>
        <v>-</v>
      </c>
    </row>
    <row r="371">
      <c r="A371" s="1" t="s">
        <v>9</v>
      </c>
      <c r="B371" s="1">
        <v>5.0</v>
      </c>
      <c r="C371" s="1">
        <v>32.0</v>
      </c>
      <c r="D371" s="1">
        <v>10.0</v>
      </c>
      <c r="E371" s="2" t="s">
        <v>448</v>
      </c>
      <c r="F371" s="3" t="s">
        <v>449</v>
      </c>
      <c r="G371" s="4">
        <v>8035.0</v>
      </c>
      <c r="H371" s="3" t="s">
        <v>450</v>
      </c>
      <c r="I371" s="3" t="s">
        <v>25</v>
      </c>
      <c r="J371" s="5" t="str">
        <f>IFERROR(__xludf.DUMMYFUNCTION("GOOGLETRANSLATE(I371,""en"",""az"")"),"İsim - xüsusi - kişi cinsində tək")</f>
        <v>İsim - xüsusi - kişi cinsində tək</v>
      </c>
      <c r="K371" s="5" t="str">
        <f>IFERROR(__xludf.DUMMYFUNCTION("GOOGLETRANSLATE(H371,""en"",""az"")"),"Şem")</f>
        <v>Şem</v>
      </c>
    </row>
    <row r="372">
      <c r="A372" s="1" t="s">
        <v>9</v>
      </c>
      <c r="B372" s="1">
        <v>5.0</v>
      </c>
      <c r="C372" s="1">
        <v>32.0</v>
      </c>
      <c r="D372" s="1">
        <v>11.0</v>
      </c>
      <c r="E372" s="2" t="s">
        <v>79</v>
      </c>
      <c r="F372" s="3" t="s">
        <v>80</v>
      </c>
      <c r="G372" s="4">
        <v>853.0</v>
      </c>
      <c r="H372" s="3" t="s">
        <v>81</v>
      </c>
      <c r="I372" s="3" t="s">
        <v>82</v>
      </c>
      <c r="J372" s="5" t="str">
        <f>IFERROR(__xludf.DUMMYFUNCTION("GOOGLETRANSLATE(I372,""en"",""az"")"),"Birbaşa obyekt marker")</f>
        <v>Birbaşa obyekt marker</v>
      </c>
      <c r="K372" s="5" t="str">
        <f>IFERROR(__xludf.DUMMYFUNCTION("GOOGLETRANSLATE(H372,""en"",""az"")"),"-")</f>
        <v>-</v>
      </c>
    </row>
    <row r="373">
      <c r="A373" s="1" t="s">
        <v>9</v>
      </c>
      <c r="B373" s="1">
        <v>5.0</v>
      </c>
      <c r="C373" s="1">
        <v>32.0</v>
      </c>
      <c r="D373" s="1">
        <v>12.0</v>
      </c>
      <c r="E373" s="2" t="s">
        <v>451</v>
      </c>
      <c r="F373" s="3" t="s">
        <v>452</v>
      </c>
      <c r="G373" s="4">
        <v>2526.0</v>
      </c>
      <c r="H373" s="3" t="s">
        <v>453</v>
      </c>
      <c r="I373" s="3" t="s">
        <v>25</v>
      </c>
      <c r="J373" s="5" t="str">
        <f>IFERROR(__xludf.DUMMYFUNCTION("GOOGLETRANSLATE(I373,""en"",""az"")"),"İsim - xüsusi - kişi cinsində tək")</f>
        <v>İsim - xüsusi - kişi cinsində tək</v>
      </c>
      <c r="K373" s="5" t="str">
        <f>IFERROR(__xludf.DUMMYFUNCTION("GOOGLETRANSLATE(H373,""en"",""az"")"),"Vetçina")</f>
        <v>Vetçina</v>
      </c>
    </row>
    <row r="374">
      <c r="A374" s="1" t="s">
        <v>9</v>
      </c>
      <c r="B374" s="1">
        <v>5.0</v>
      </c>
      <c r="C374" s="1">
        <v>32.0</v>
      </c>
      <c r="D374" s="1">
        <v>13.0</v>
      </c>
      <c r="E374" s="2" t="s">
        <v>454</v>
      </c>
      <c r="F374" s="3" t="s">
        <v>455</v>
      </c>
      <c r="G374" s="4">
        <v>853.0</v>
      </c>
      <c r="H374" s="3" t="s">
        <v>456</v>
      </c>
      <c r="I374" s="3" t="s">
        <v>457</v>
      </c>
      <c r="J374" s="5" t="str">
        <f>IFERROR(__xludf.DUMMYFUNCTION("GOOGLETRANSLATE(I374,""en"",""az"")"),"Konyunktiv waw :: Birbaşa obyekt işarəsi")</f>
        <v>Konyunktiv waw :: Birbaşa obyekt işarəsi</v>
      </c>
      <c r="K374" s="5" t="str">
        <f>IFERROR(__xludf.DUMMYFUNCTION("GOOGLETRANSLATE(H374,""en"",""az"")"),"və")</f>
        <v>və</v>
      </c>
    </row>
    <row r="375">
      <c r="A375" s="1" t="s">
        <v>9</v>
      </c>
      <c r="B375" s="1">
        <v>5.0</v>
      </c>
      <c r="C375" s="1">
        <v>32.0</v>
      </c>
      <c r="D375" s="1">
        <v>14.0</v>
      </c>
      <c r="E375" s="2" t="s">
        <v>458</v>
      </c>
      <c r="F375" s="3" t="s">
        <v>459</v>
      </c>
      <c r="G375" s="4">
        <v>3315.0</v>
      </c>
      <c r="H375" s="3" t="s">
        <v>460</v>
      </c>
      <c r="I375" s="3" t="s">
        <v>25</v>
      </c>
      <c r="J375" s="5" t="str">
        <f>IFERROR(__xludf.DUMMYFUNCTION("GOOGLETRANSLATE(I375,""en"",""az"")"),"İsim - xüsusi - kişi cinsində tək")</f>
        <v>İsim - xüsusi - kişi cinsində tək</v>
      </c>
      <c r="K375" s="5" t="str">
        <f>IFERROR(__xludf.DUMMYFUNCTION("GOOGLETRANSLATE(H375,""en"",""az"")"),"Yafəs")</f>
        <v>Yafəs</v>
      </c>
    </row>
  </sheetData>
  <drawing r:id="rId1"/>
</worksheet>
</file>